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Assumptions" state="visible" r:id="rId5"/>
    <sheet sheetId="3" name="Accumulation" state="visible" r:id="rId6"/>
    <sheet sheetId="4" name="FIRE number" state="visible" r:id="rId7"/>
    <sheet sheetId="5" name="Drawdown" state="visible" r:id="rId8"/>
    <sheet sheetId="6" name="Sensitivity" state="visible" r:id="rId9"/>
    <sheet sheetId="7" name="Dashboard" state="visible" r:id="rId10"/>
  </sheets>
  <definedNames>
    <definedName name="startCapital">Assumptions!$B$2</definedName>
    <definedName name="monthlySavings">Assumptions!$B$3</definedName>
    <definedName name="savingsDynamic">Assumptions!$B$4</definedName>
    <definedName name="expReturn">Assumptions!$B$5</definedName>
    <definedName name="inflation">Assumptions!$B$6</definedName>
    <definedName name="swr">Assumptions!$B$7</definedName>
    <definedName name="desiredIncome">Assumptions!$B$8</definedName>
    <definedName name="healthMonthly">Assumptions!$B$9</definedName>
    <definedName name="statePension">Assumptions!$B$10</definedName>
    <definedName name="currentAge">Assumptions!$B$11</definedName>
    <definedName name="fireAge">Assumptions!$B$12</definedName>
    <definedName name="pensionAge">Assumptions!$B$13</definedName>
    <definedName name="endAge">Assumptions!$B$14</definedName>
    <definedName name="taxRate">Assumptions!$B$15</definedName>
    <definedName name="partialExemption">Assumptions!$B$16</definedName>
    <definedName name="saverAllowance">Assumptions!$B$17</definedName>
    <definedName name="basiszins">Assumptions!$B$18</definedName>
    <definedName name="drawReturnDed">Assumptions!$B$19</definedName>
    <definedName name="withdrawalTaxDrag">Assumptions!$B$20</definedName>
  </definedNames>
  <calcPr calcId="171027"/>
</workbook>
</file>

<file path=xl/sharedStrings.xml><?xml version="1.0" encoding="utf-8"?>
<sst xmlns="http://schemas.openxmlformats.org/spreadsheetml/2006/main" count="113" uniqueCount="102">
  <si>
    <t>🔥 FIRE Analysis — General Template</t>
  </si>
  <si>
    <t/>
  </si>
  <si>
    <t>This workbook is a general, parametric financial-independence analysis.</t>
  </si>
  <si>
    <t>Change ONLY the amber cells on the 'Assumptions' sheet — every other sheet recomputes automatically.</t>
  </si>
  <si>
    <t>Sheets:</t>
  </si>
  <si>
    <t>• Assumptions   — all your inputs in one place (amber = editable).</t>
  </si>
  <si>
    <t>• Accumulation  — year-by-year portfolio growth, contributions, tax drag (Vorabpauschale) and real value.</t>
  </si>
  <si>
    <t>• FIRE number   — how much capital you need, incl. a pension-aware two-phase estimate.</t>
  </si>
  <si>
    <t>• Drawdown      — year-by-year decumulation with inflation-scaled, pension-credited, after-tax withdrawals.</t>
  </si>
  <si>
    <t>• Sensitivity   — required monthly savings across a range of expected returns.</t>
  </si>
  <si>
    <t>• Dashboard     — the KPI summary at a glance.</t>
  </si>
  <si>
    <t>Colour key:  amber = your input,  blue = calculated (do not edit).</t>
  </si>
  <si>
    <t>Methodology: see docs/FINANCIAL_ANALYSIS_VISION.md in the repository.</t>
  </si>
  <si>
    <t>Disclaimer: Educational planning aid only. Not financial, tax or investment advice.</t>
  </si>
  <si>
    <t>Tax model is a simplified German capital-gains approximation; verify with a professional.</t>
  </si>
  <si>
    <t>All default numbers are illustrative placeholders — replace them with your own.</t>
  </si>
  <si>
    <t>Parameter</t>
  </si>
  <si>
    <t>Value</t>
  </si>
  <si>
    <t>Notes (illustrative defaults — replace with your own)</t>
  </si>
  <si>
    <t>Starting capital</t>
  </si>
  <si>
    <t>Invested capital you already have today.</t>
  </si>
  <si>
    <t>Monthly savings</t>
  </si>
  <si>
    <t>Amount invested every month (before any dynamic increase).</t>
  </si>
  <si>
    <t>Savings dynamic (annual)</t>
  </si>
  <si>
    <t>Yearly % increase of the savings rate (e.g. with salary).</t>
  </si>
  <si>
    <t>Expected return (nominal)</t>
  </si>
  <si>
    <t>Long-run nominal return of a broad equity ETF.</t>
  </si>
  <si>
    <t>Inflation</t>
  </si>
  <si>
    <t>Assumed long-run price inflation.</t>
  </si>
  <si>
    <t>Safe withdrawal rate</t>
  </si>
  <si>
    <t>Sustainable withdrawal rate (Trinity-study style).</t>
  </si>
  <si>
    <t>Desired monthly income (today's €)</t>
  </si>
  <si>
    <t>Net monthly spending you want in retirement, in today's money.</t>
  </si>
  <si>
    <t>Health insurance (monthly)</t>
  </si>
  <si>
    <t>Lifelong health-insurance cost in retirement (0 = ignore).</t>
  </si>
  <si>
    <t>State pension (monthly, net)</t>
  </si>
  <si>
    <t>Expected net monthly state pension (0 = none).</t>
  </si>
  <si>
    <t>Current age</t>
  </si>
  <si>
    <t>Your age today.</t>
  </si>
  <si>
    <t>Target FIRE age</t>
  </si>
  <si>
    <t>Age at which you stop accumulating and start drawdown.</t>
  </si>
  <si>
    <t>Pension start age</t>
  </si>
  <si>
    <t>Age at which the state pension begins.</t>
  </si>
  <si>
    <t>Planning end age</t>
  </si>
  <si>
    <t>Age the plan must last to.</t>
  </si>
  <si>
    <t>Capital-gains tax rate</t>
  </si>
  <si>
    <t>Abgeltungssteuer + Soli (add church tax if applicable).</t>
  </si>
  <si>
    <t>Partial exemption (Teilfreistellung)</t>
  </si>
  <si>
    <t>Tax-free share of equity-ETF gains.</t>
  </si>
  <si>
    <t>Saver's allowance (annual)</t>
  </si>
  <si>
    <t>Sparer-Pauschbetrag (1000 single / 2000 couple).</t>
  </si>
  <si>
    <t>Base rate (Vorabpauschale)</t>
  </si>
  <si>
    <t>Annual Basiszins set by the finance ministry.</t>
  </si>
  <si>
    <t>Drawdown return deduction</t>
  </si>
  <si>
    <t>Return reduction for a more conservative retirement allocation.</t>
  </si>
  <si>
    <t>Withdrawal tax drag</t>
  </si>
  <si>
    <t>Approx. effective tax on gross withdrawals in drawdown.</t>
  </si>
  <si>
    <t>Year</t>
  </si>
  <si>
    <t>Age</t>
  </si>
  <si>
    <t>Start balance</t>
  </si>
  <si>
    <t>Contributions</t>
  </si>
  <si>
    <t>Growth</t>
  </si>
  <si>
    <t>Tax (Vorabpauschale)</t>
  </si>
  <si>
    <t>End balance (nominal)</t>
  </si>
  <si>
    <t>Price index</t>
  </si>
  <si>
    <t>End balance (real)</t>
  </si>
  <si>
    <t>Cumulative contrib.</t>
  </si>
  <si>
    <t>Cumulative gains</t>
  </si>
  <si>
    <t>FIRE-number derivation</t>
  </si>
  <si>
    <t>Annual desired income (today's €)</t>
  </si>
  <si>
    <t>Desired spend incl. health cost, per year.</t>
  </si>
  <si>
    <t>Annual net state pension</t>
  </si>
  <si>
    <t>Credited once you reach pension age.</t>
  </si>
  <si>
    <t>Annual gap after pension</t>
  </si>
  <si>
    <t>Income still needed once the pension is paid.</t>
  </si>
  <si>
    <t>FIRE number — simple (income / SWR)</t>
  </si>
  <si>
    <t>Classic SWR target ignoring the pension.</t>
  </si>
  <si>
    <t>Capital for the post-pension gap</t>
  </si>
  <si>
    <t>SWR target for the residual gap only.</t>
  </si>
  <si>
    <t>Bridge years (FIRE → pension)</t>
  </si>
  <si>
    <t>Years you must fully self-fund before the pension.</t>
  </si>
  <si>
    <t>Bridge capital (pension pre-funding)</t>
  </si>
  <si>
    <t>Undiscounted pension income you must bridge (conservative).</t>
  </si>
  <si>
    <t>FIRE number — pension-aware</t>
  </si>
  <si>
    <t>Two-phase estimate: gap capital + bridge capital.</t>
  </si>
  <si>
    <t>Projected real portfolio at FIRE age</t>
  </si>
  <si>
    <t>From the Accumulation sheet, today's €.</t>
  </si>
  <si>
    <t>Surplus / shortfall vs. pension-aware target</t>
  </si>
  <si>
    <t>Positive = on track (real terms).</t>
  </si>
  <si>
    <t>Withdrawal need (net)</t>
  </si>
  <si>
    <t>Withdrawal (gross of tax)</t>
  </si>
  <si>
    <t>Expected return</t>
  </si>
  <si>
    <t>Required monthly savings</t>
  </si>
  <si>
    <t>Nominal target at FIRE age</t>
  </si>
  <si>
    <t>KPI Dashboard</t>
  </si>
  <si>
    <t>FIRE number (pension-aware)</t>
  </si>
  <si>
    <t>FIRE number (simple SWR)</t>
  </si>
  <si>
    <t>Surplus / shortfall (real)</t>
  </si>
  <si>
    <t>Years to FIRE</t>
  </si>
  <si>
    <t>Desired annual income (today's €)</t>
  </si>
  <si>
    <t>Sustainable income at SWR</t>
  </si>
  <si>
    <t>Portfolio at end of plan (real)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</si>
</sst>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 &quot;€&quot;"/>
    <numFmt numFmtId="165" formatCode="0.0&quot;%&quot;"/>
    <numFmt numFmtId="166" formatCode="0.000"/>
  </numFmts>
  <fonts count="8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  <color rgb="FFFFFFFF"/>
    </font>
    <font>
      <b/>
    </font>
    <font>
      <color rgb="FF6B7280"/>
      <sz val="10"/>
    </font>
    <font>
      <b/>
      <sz val="14"/>
    </font>
    <font/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FF3CD"/>
      </patternFill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BBBBB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164" fontId="4" fillId="3" borderId="1" xfId="0" applyNumberFormat="1" applyFont="1" applyFill="1" applyBorder="1"/>
    <xf numFmtId="0" fontId="5" fillId="0" borderId="0" xfId="0" applyFont="1"/>
    <xf numFmtId="165" fontId="4" fillId="3" borderId="1" xfId="0" applyNumberFormat="1" applyFont="1" applyFill="1" applyBorder="1"/>
    <xf numFmtId="1" fontId="4" fillId="3" borderId="1" xfId="0" applyNumberFormat="1" applyFont="1" applyFill="1" applyBorder="1"/>
    <xf numFmtId="1" fontId="0" fillId="4" borderId="0" xfId="0" applyNumberFormat="1" applyFill="1"/>
    <xf numFmtId="164" fontId="0" fillId="4" borderId="0" xfId="0" applyNumberFormat="1" applyFill="1"/>
    <xf numFmtId="166" fontId="0" fillId="4" borderId="0" xfId="0" applyNumberFormat="1" applyFill="1"/>
    <xf numFmtId="0" fontId="6" fillId="0" borderId="0" xfId="0" applyFont="1"/>
    <xf numFmtId="165" fontId="7" fillId="4" borderId="1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A20"/>
  <sheetFormatPr defaultRowHeight="15" outlineLevelRow="0" outlineLevelCol="0" x14ac:dyDescent="55"/>
  <cols>
    <col min="1" max="1" width="10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1</v>
      </c>
    </row>
    <row r="6" spans="1:1" x14ac:dyDescent="0.25">
      <c r="A6" s="2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</v>
      </c>
    </row>
    <row r="14" spans="1:1" x14ac:dyDescent="0.25">
      <c r="A14" t="s">
        <v>11</v>
      </c>
    </row>
    <row r="15" spans="1:1" x14ac:dyDescent="0.25">
      <c r="A15" t="s">
        <v>1</v>
      </c>
    </row>
    <row r="16" spans="1:1" x14ac:dyDescent="0.25">
      <c r="A16" t="s">
        <v>12</v>
      </c>
    </row>
    <row r="17" spans="1:1" x14ac:dyDescent="0.25">
      <c r="A17" t="s">
        <v>1</v>
      </c>
    </row>
    <row r="18" spans="1:1" x14ac:dyDescent="0.25">
      <c r="A18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3CD"/>
  </sheetPr>
  <dimension ref="A1:C20"/>
  <sheetFormatPr defaultRowHeight="15" outlineLevelRow="0" outlineLevelCol="0" x14ac:dyDescent="55"/>
  <cols>
    <col min="1" max="1" width="42" customWidth="1"/>
    <col min="2" max="2" width="16" customWidth="1"/>
    <col min="3" max="3" width="60" customWidth="1"/>
  </cols>
  <sheetData>
    <row r="1" spans="1:3" x14ac:dyDescent="0.25">
      <c r="A1" s="3" t="s">
        <v>16</v>
      </c>
      <c r="B1" s="3" t="s">
        <v>17</v>
      </c>
      <c r="C1" s="3" t="s">
        <v>18</v>
      </c>
    </row>
    <row r="2" spans="1:3" x14ac:dyDescent="0.25">
      <c r="A2" t="s">
        <v>19</v>
      </c>
      <c r="B2" s="4">
        <v>50000</v>
      </c>
      <c r="C2" s="5" t="s">
        <v>20</v>
      </c>
    </row>
    <row r="3" spans="1:3" x14ac:dyDescent="0.25">
      <c r="A3" t="s">
        <v>21</v>
      </c>
      <c r="B3" s="4">
        <v>800</v>
      </c>
      <c r="C3" s="5" t="s">
        <v>22</v>
      </c>
    </row>
    <row r="4" spans="1:3" x14ac:dyDescent="0.25">
      <c r="A4" t="s">
        <v>23</v>
      </c>
      <c r="B4" s="6">
        <v>2</v>
      </c>
      <c r="C4" s="5" t="s">
        <v>24</v>
      </c>
    </row>
    <row r="5" spans="1:3" x14ac:dyDescent="0.25">
      <c r="A5" t="s">
        <v>25</v>
      </c>
      <c r="B5" s="6">
        <v>7</v>
      </c>
      <c r="C5" s="5" t="s">
        <v>26</v>
      </c>
    </row>
    <row r="6" spans="1:3" x14ac:dyDescent="0.25">
      <c r="A6" t="s">
        <v>27</v>
      </c>
      <c r="B6" s="6">
        <v>2.5</v>
      </c>
      <c r="C6" s="5" t="s">
        <v>28</v>
      </c>
    </row>
    <row r="7" spans="1:3" x14ac:dyDescent="0.25">
      <c r="A7" t="s">
        <v>29</v>
      </c>
      <c r="B7" s="6">
        <v>3.5</v>
      </c>
      <c r="C7" s="5" t="s">
        <v>30</v>
      </c>
    </row>
    <row r="8" spans="1:3" x14ac:dyDescent="0.25">
      <c r="A8" t="s">
        <v>31</v>
      </c>
      <c r="B8" s="4">
        <v>2500</v>
      </c>
      <c r="C8" s="5" t="s">
        <v>32</v>
      </c>
    </row>
    <row r="9" spans="1:3" x14ac:dyDescent="0.25">
      <c r="A9" t="s">
        <v>33</v>
      </c>
      <c r="B9" s="4">
        <v>0</v>
      </c>
      <c r="C9" s="5" t="s">
        <v>34</v>
      </c>
    </row>
    <row r="10" spans="1:3" x14ac:dyDescent="0.25">
      <c r="A10" t="s">
        <v>35</v>
      </c>
      <c r="B10" s="4">
        <v>1200</v>
      </c>
      <c r="C10" s="5" t="s">
        <v>36</v>
      </c>
    </row>
    <row r="11" spans="1:3" x14ac:dyDescent="0.25">
      <c r="A11" t="s">
        <v>37</v>
      </c>
      <c r="B11" s="7">
        <v>35</v>
      </c>
      <c r="C11" s="5" t="s">
        <v>38</v>
      </c>
    </row>
    <row r="12" spans="1:3" x14ac:dyDescent="0.25">
      <c r="A12" t="s">
        <v>39</v>
      </c>
      <c r="B12" s="7">
        <v>55</v>
      </c>
      <c r="C12" s="5" t="s">
        <v>40</v>
      </c>
    </row>
    <row r="13" spans="1:3" x14ac:dyDescent="0.25">
      <c r="A13" t="s">
        <v>41</v>
      </c>
      <c r="B13" s="7">
        <v>67</v>
      </c>
      <c r="C13" s="5" t="s">
        <v>42</v>
      </c>
    </row>
    <row r="14" spans="1:3" x14ac:dyDescent="0.25">
      <c r="A14" t="s">
        <v>43</v>
      </c>
      <c r="B14" s="7">
        <v>90</v>
      </c>
      <c r="C14" s="5" t="s">
        <v>44</v>
      </c>
    </row>
    <row r="15" spans="1:3" x14ac:dyDescent="0.25">
      <c r="A15" t="s">
        <v>45</v>
      </c>
      <c r="B15" s="6">
        <v>26.375</v>
      </c>
      <c r="C15" s="5" t="s">
        <v>46</v>
      </c>
    </row>
    <row r="16" spans="1:3" x14ac:dyDescent="0.25">
      <c r="A16" t="s">
        <v>47</v>
      </c>
      <c r="B16" s="6">
        <v>30</v>
      </c>
      <c r="C16" s="5" t="s">
        <v>48</v>
      </c>
    </row>
    <row r="17" spans="1:3" x14ac:dyDescent="0.25">
      <c r="A17" t="s">
        <v>49</v>
      </c>
      <c r="B17" s="4">
        <v>1000</v>
      </c>
      <c r="C17" s="5" t="s">
        <v>50</v>
      </c>
    </row>
    <row r="18" spans="1:3" x14ac:dyDescent="0.25">
      <c r="A18" t="s">
        <v>51</v>
      </c>
      <c r="B18" s="6">
        <v>2.53</v>
      </c>
      <c r="C18" s="5" t="s">
        <v>52</v>
      </c>
    </row>
    <row r="19" spans="1:3" x14ac:dyDescent="0.25">
      <c r="A19" t="s">
        <v>53</v>
      </c>
      <c r="B19" s="6">
        <v>1</v>
      </c>
      <c r="C19" s="5" t="s">
        <v>54</v>
      </c>
    </row>
    <row r="20" spans="1:3" x14ac:dyDescent="0.25">
      <c r="A20" t="s">
        <v>55</v>
      </c>
      <c r="B20" s="6">
        <v>5</v>
      </c>
      <c r="C20" s="5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FormatPr defaultRowHeight="15" outlineLevelRow="0" outlineLevelCol="0" x14ac:dyDescent="55"/>
  <cols>
    <col min="1" max="1" width="8" customWidth="1"/>
    <col min="2" max="11" width="20" customWidth="1"/>
  </cols>
  <sheetData>
    <row r="1" spans="1:11" x14ac:dyDescent="0.25">
      <c r="A1" s="3" t="s">
        <v>57</v>
      </c>
      <c r="B1" s="3" t="s">
        <v>58</v>
      </c>
      <c r="C1" s="3" t="s">
        <v>59</v>
      </c>
      <c r="D1" s="3" t="s">
        <v>60</v>
      </c>
      <c r="E1" s="3" t="s">
        <v>61</v>
      </c>
      <c r="F1" s="3" t="s">
        <v>62</v>
      </c>
      <c r="G1" s="3" t="s">
        <v>63</v>
      </c>
      <c r="H1" s="3" t="s">
        <v>64</v>
      </c>
      <c r="I1" s="3" t="s">
        <v>65</v>
      </c>
      <c r="J1" s="3" t="s">
        <v>66</v>
      </c>
      <c r="K1" s="3" t="s">
        <v>67</v>
      </c>
    </row>
    <row r="2" spans="1:11" x14ac:dyDescent="0.25">
      <c r="A2" s="8">
        <f>1</f>
      </c>
      <c r="B2" s="8">
        <f>currentAge+1-1</f>
      </c>
      <c r="C2" s="9">
        <f>startCapital</f>
      </c>
      <c r="D2" s="9">
        <f>IF((currentAge+1-1) &lt; fireAge, monthlySavings*12*(1+savingsDynamic/100)^(1-1), 0)</f>
      </c>
      <c r="E2" s="9">
        <f>IF((currentAge+1-1) &lt; fireAge, C2*expReturn/100 + D2*expReturn/200, 0)</f>
      </c>
      <c r="F2" s="9">
        <f>IF((currentAge+1-1) &lt; fireAge, MAX(0, (MIN(E2, C2*basiszins/100)*(1-partialExemption/100)-saverAllowance)*taxRate/100), 0)</f>
      </c>
      <c r="G2" s="9">
        <f>C2+D2+E2-F2</f>
      </c>
      <c r="H2" s="10">
        <f>(1+inflation/100)^1</f>
      </c>
      <c r="I2" s="9">
        <f>G2/H2</f>
      </c>
      <c r="J2" s="9">
        <f>D2</f>
      </c>
      <c r="K2" s="9">
        <f>E2</f>
      </c>
    </row>
    <row r="3" spans="1:11" x14ac:dyDescent="0.25">
      <c r="A3" s="8">
        <f>2</f>
      </c>
      <c r="B3" s="8">
        <f>currentAge+2-1</f>
      </c>
      <c r="C3" s="9">
        <f>G2</f>
      </c>
      <c r="D3" s="9">
        <f>IF((currentAge+2-1) &lt; fireAge, monthlySavings*12*(1+savingsDynamic/100)^(2-1), 0)</f>
      </c>
      <c r="E3" s="9">
        <f>IF((currentAge+2-1) &lt; fireAge, C3*expReturn/100 + D3*expReturn/200, 0)</f>
      </c>
      <c r="F3" s="9">
        <f>IF((currentAge+2-1) &lt; fireAge, MAX(0, (MIN(E3, C3*basiszins/100)*(1-partialExemption/100)-saverAllowance)*taxRate/100), 0)</f>
      </c>
      <c r="G3" s="9">
        <f>C3+D3+E3-F3</f>
      </c>
      <c r="H3" s="10">
        <f>(1+inflation/100)^2</f>
      </c>
      <c r="I3" s="9">
        <f>G3/H3</f>
      </c>
      <c r="J3" s="9">
        <f>J2+D3</f>
      </c>
      <c r="K3" s="9">
        <f>K2+E3</f>
      </c>
    </row>
    <row r="4" spans="1:11" x14ac:dyDescent="0.25">
      <c r="A4" s="8">
        <f>3</f>
      </c>
      <c r="B4" s="8">
        <f>currentAge+3-1</f>
      </c>
      <c r="C4" s="9">
        <f>G3</f>
      </c>
      <c r="D4" s="9">
        <f>IF((currentAge+3-1) &lt; fireAge, monthlySavings*12*(1+savingsDynamic/100)^(3-1), 0)</f>
      </c>
      <c r="E4" s="9">
        <f>IF((currentAge+3-1) &lt; fireAge, C4*expReturn/100 + D4*expReturn/200, 0)</f>
      </c>
      <c r="F4" s="9">
        <f>IF((currentAge+3-1) &lt; fireAge, MAX(0, (MIN(E4, C4*basiszins/100)*(1-partialExemption/100)-saverAllowance)*taxRate/100), 0)</f>
      </c>
      <c r="G4" s="9">
        <f>C4+D4+E4-F4</f>
      </c>
      <c r="H4" s="10">
        <f>(1+inflation/100)^3</f>
      </c>
      <c r="I4" s="9">
        <f>G4/H4</f>
      </c>
      <c r="J4" s="9">
        <f>J3+D4</f>
      </c>
      <c r="K4" s="9">
        <f>K3+E4</f>
      </c>
    </row>
    <row r="5" spans="1:11" x14ac:dyDescent="0.25">
      <c r="A5" s="8">
        <f>4</f>
      </c>
      <c r="B5" s="8">
        <f>currentAge+4-1</f>
      </c>
      <c r="C5" s="9">
        <f>G4</f>
      </c>
      <c r="D5" s="9">
        <f>IF((currentAge+4-1) &lt; fireAge, monthlySavings*12*(1+savingsDynamic/100)^(4-1), 0)</f>
      </c>
      <c r="E5" s="9">
        <f>IF((currentAge+4-1) &lt; fireAge, C5*expReturn/100 + D5*expReturn/200, 0)</f>
      </c>
      <c r="F5" s="9">
        <f>IF((currentAge+4-1) &lt; fireAge, MAX(0, (MIN(E5, C5*basiszins/100)*(1-partialExemption/100)-saverAllowance)*taxRate/100), 0)</f>
      </c>
      <c r="G5" s="9">
        <f>C5+D5+E5-F5</f>
      </c>
      <c r="H5" s="10">
        <f>(1+inflation/100)^4</f>
      </c>
      <c r="I5" s="9">
        <f>G5/H5</f>
      </c>
      <c r="J5" s="9">
        <f>J4+D5</f>
      </c>
      <c r="K5" s="9">
        <f>K4+E5</f>
      </c>
    </row>
    <row r="6" spans="1:11" x14ac:dyDescent="0.25">
      <c r="A6" s="8">
        <f>5</f>
      </c>
      <c r="B6" s="8">
        <f>currentAge+5-1</f>
      </c>
      <c r="C6" s="9">
        <f>G5</f>
      </c>
      <c r="D6" s="9">
        <f>IF((currentAge+5-1) &lt; fireAge, monthlySavings*12*(1+savingsDynamic/100)^(5-1), 0)</f>
      </c>
      <c r="E6" s="9">
        <f>IF((currentAge+5-1) &lt; fireAge, C6*expReturn/100 + D6*expReturn/200, 0)</f>
      </c>
      <c r="F6" s="9">
        <f>IF((currentAge+5-1) &lt; fireAge, MAX(0, (MIN(E6, C6*basiszins/100)*(1-partialExemption/100)-saverAllowance)*taxRate/100), 0)</f>
      </c>
      <c r="G6" s="9">
        <f>C6+D6+E6-F6</f>
      </c>
      <c r="H6" s="10">
        <f>(1+inflation/100)^5</f>
      </c>
      <c r="I6" s="9">
        <f>G6/H6</f>
      </c>
      <c r="J6" s="9">
        <f>J5+D6</f>
      </c>
      <c r="K6" s="9">
        <f>K5+E6</f>
      </c>
    </row>
    <row r="7" spans="1:11" x14ac:dyDescent="0.25">
      <c r="A7" s="8">
        <f>6</f>
      </c>
      <c r="B7" s="8">
        <f>currentAge+6-1</f>
      </c>
      <c r="C7" s="9">
        <f>G6</f>
      </c>
      <c r="D7" s="9">
        <f>IF((currentAge+6-1) &lt; fireAge, monthlySavings*12*(1+savingsDynamic/100)^(6-1), 0)</f>
      </c>
      <c r="E7" s="9">
        <f>IF((currentAge+6-1) &lt; fireAge, C7*expReturn/100 + D7*expReturn/200, 0)</f>
      </c>
      <c r="F7" s="9">
        <f>IF((currentAge+6-1) &lt; fireAge, MAX(0, (MIN(E7, C7*basiszins/100)*(1-partialExemption/100)-saverAllowance)*taxRate/100), 0)</f>
      </c>
      <c r="G7" s="9">
        <f>C7+D7+E7-F7</f>
      </c>
      <c r="H7" s="10">
        <f>(1+inflation/100)^6</f>
      </c>
      <c r="I7" s="9">
        <f>G7/H7</f>
      </c>
      <c r="J7" s="9">
        <f>J6+D7</f>
      </c>
      <c r="K7" s="9">
        <f>K6+E7</f>
      </c>
    </row>
    <row r="8" spans="1:11" x14ac:dyDescent="0.25">
      <c r="A8" s="8">
        <f>7</f>
      </c>
      <c r="B8" s="8">
        <f>currentAge+7-1</f>
      </c>
      <c r="C8" s="9">
        <f>G7</f>
      </c>
      <c r="D8" s="9">
        <f>IF((currentAge+7-1) &lt; fireAge, monthlySavings*12*(1+savingsDynamic/100)^(7-1), 0)</f>
      </c>
      <c r="E8" s="9">
        <f>IF((currentAge+7-1) &lt; fireAge, C8*expReturn/100 + D8*expReturn/200, 0)</f>
      </c>
      <c r="F8" s="9">
        <f>IF((currentAge+7-1) &lt; fireAge, MAX(0, (MIN(E8, C8*basiszins/100)*(1-partialExemption/100)-saverAllowance)*taxRate/100), 0)</f>
      </c>
      <c r="G8" s="9">
        <f>C8+D8+E8-F8</f>
      </c>
      <c r="H8" s="10">
        <f>(1+inflation/100)^7</f>
      </c>
      <c r="I8" s="9">
        <f>G8/H8</f>
      </c>
      <c r="J8" s="9">
        <f>J7+D8</f>
      </c>
      <c r="K8" s="9">
        <f>K7+E8</f>
      </c>
    </row>
    <row r="9" spans="1:11" x14ac:dyDescent="0.25">
      <c r="A9" s="8">
        <f>8</f>
      </c>
      <c r="B9" s="8">
        <f>currentAge+8-1</f>
      </c>
      <c r="C9" s="9">
        <f>G8</f>
      </c>
      <c r="D9" s="9">
        <f>IF((currentAge+8-1) &lt; fireAge, monthlySavings*12*(1+savingsDynamic/100)^(8-1), 0)</f>
      </c>
      <c r="E9" s="9">
        <f>IF((currentAge+8-1) &lt; fireAge, C9*expReturn/100 + D9*expReturn/200, 0)</f>
      </c>
      <c r="F9" s="9">
        <f>IF((currentAge+8-1) &lt; fireAge, MAX(0, (MIN(E9, C9*basiszins/100)*(1-partialExemption/100)-saverAllowance)*taxRate/100), 0)</f>
      </c>
      <c r="G9" s="9">
        <f>C9+D9+E9-F9</f>
      </c>
      <c r="H9" s="10">
        <f>(1+inflation/100)^8</f>
      </c>
      <c r="I9" s="9">
        <f>G9/H9</f>
      </c>
      <c r="J9" s="9">
        <f>J8+D9</f>
      </c>
      <c r="K9" s="9">
        <f>K8+E9</f>
      </c>
    </row>
    <row r="10" spans="1:11" x14ac:dyDescent="0.25">
      <c r="A10" s="8">
        <f>9</f>
      </c>
      <c r="B10" s="8">
        <f>currentAge+9-1</f>
      </c>
      <c r="C10" s="9">
        <f>G9</f>
      </c>
      <c r="D10" s="9">
        <f>IF((currentAge+9-1) &lt; fireAge, monthlySavings*12*(1+savingsDynamic/100)^(9-1), 0)</f>
      </c>
      <c r="E10" s="9">
        <f>IF((currentAge+9-1) &lt; fireAge, C10*expReturn/100 + D10*expReturn/200, 0)</f>
      </c>
      <c r="F10" s="9">
        <f>IF((currentAge+9-1) &lt; fireAge, MAX(0, (MIN(E10, C10*basiszins/100)*(1-partialExemption/100)-saverAllowance)*taxRate/100), 0)</f>
      </c>
      <c r="G10" s="9">
        <f>C10+D10+E10-F10</f>
      </c>
      <c r="H10" s="10">
        <f>(1+inflation/100)^9</f>
      </c>
      <c r="I10" s="9">
        <f>G10/H10</f>
      </c>
      <c r="J10" s="9">
        <f>J9+D10</f>
      </c>
      <c r="K10" s="9">
        <f>K9+E10</f>
      </c>
    </row>
    <row r="11" spans="1:11" x14ac:dyDescent="0.25">
      <c r="A11" s="8">
        <f>10</f>
      </c>
      <c r="B11" s="8">
        <f>currentAge+10-1</f>
      </c>
      <c r="C11" s="9">
        <f>G10</f>
      </c>
      <c r="D11" s="9">
        <f>IF((currentAge+10-1) &lt; fireAge, monthlySavings*12*(1+savingsDynamic/100)^(10-1), 0)</f>
      </c>
      <c r="E11" s="9">
        <f>IF((currentAge+10-1) &lt; fireAge, C11*expReturn/100 + D11*expReturn/200, 0)</f>
      </c>
      <c r="F11" s="9">
        <f>IF((currentAge+10-1) &lt; fireAge, MAX(0, (MIN(E11, C11*basiszins/100)*(1-partialExemption/100)-saverAllowance)*taxRate/100), 0)</f>
      </c>
      <c r="G11" s="9">
        <f>C11+D11+E11-F11</f>
      </c>
      <c r="H11" s="10">
        <f>(1+inflation/100)^10</f>
      </c>
      <c r="I11" s="9">
        <f>G11/H11</f>
      </c>
      <c r="J11" s="9">
        <f>J10+D11</f>
      </c>
      <c r="K11" s="9">
        <f>K10+E11</f>
      </c>
    </row>
    <row r="12" spans="1:11" x14ac:dyDescent="0.25">
      <c r="A12" s="8">
        <f>11</f>
      </c>
      <c r="B12" s="8">
        <f>currentAge+11-1</f>
      </c>
      <c r="C12" s="9">
        <f>G11</f>
      </c>
      <c r="D12" s="9">
        <f>IF((currentAge+11-1) &lt; fireAge, monthlySavings*12*(1+savingsDynamic/100)^(11-1), 0)</f>
      </c>
      <c r="E12" s="9">
        <f>IF((currentAge+11-1) &lt; fireAge, C12*expReturn/100 + D12*expReturn/200, 0)</f>
      </c>
      <c r="F12" s="9">
        <f>IF((currentAge+11-1) &lt; fireAge, MAX(0, (MIN(E12, C12*basiszins/100)*(1-partialExemption/100)-saverAllowance)*taxRate/100), 0)</f>
      </c>
      <c r="G12" s="9">
        <f>C12+D12+E12-F12</f>
      </c>
      <c r="H12" s="10">
        <f>(1+inflation/100)^11</f>
      </c>
      <c r="I12" s="9">
        <f>G12/H12</f>
      </c>
      <c r="J12" s="9">
        <f>J11+D12</f>
      </c>
      <c r="K12" s="9">
        <f>K11+E12</f>
      </c>
    </row>
    <row r="13" spans="1:11" x14ac:dyDescent="0.25">
      <c r="A13" s="8">
        <f>12</f>
      </c>
      <c r="B13" s="8">
        <f>currentAge+12-1</f>
      </c>
      <c r="C13" s="9">
        <f>G12</f>
      </c>
      <c r="D13" s="9">
        <f>IF((currentAge+12-1) &lt; fireAge, monthlySavings*12*(1+savingsDynamic/100)^(12-1), 0)</f>
      </c>
      <c r="E13" s="9">
        <f>IF((currentAge+12-1) &lt; fireAge, C13*expReturn/100 + D13*expReturn/200, 0)</f>
      </c>
      <c r="F13" s="9">
        <f>IF((currentAge+12-1) &lt; fireAge, MAX(0, (MIN(E13, C13*basiszins/100)*(1-partialExemption/100)-saverAllowance)*taxRate/100), 0)</f>
      </c>
      <c r="G13" s="9">
        <f>C13+D13+E13-F13</f>
      </c>
      <c r="H13" s="10">
        <f>(1+inflation/100)^12</f>
      </c>
      <c r="I13" s="9">
        <f>G13/H13</f>
      </c>
      <c r="J13" s="9">
        <f>J12+D13</f>
      </c>
      <c r="K13" s="9">
        <f>K12+E13</f>
      </c>
    </row>
    <row r="14" spans="1:11" x14ac:dyDescent="0.25">
      <c r="A14" s="8">
        <f>13</f>
      </c>
      <c r="B14" s="8">
        <f>currentAge+13-1</f>
      </c>
      <c r="C14" s="9">
        <f>G13</f>
      </c>
      <c r="D14" s="9">
        <f>IF((currentAge+13-1) &lt; fireAge, monthlySavings*12*(1+savingsDynamic/100)^(13-1), 0)</f>
      </c>
      <c r="E14" s="9">
        <f>IF((currentAge+13-1) &lt; fireAge, C14*expReturn/100 + D14*expReturn/200, 0)</f>
      </c>
      <c r="F14" s="9">
        <f>IF((currentAge+13-1) &lt; fireAge, MAX(0, (MIN(E14, C14*basiszins/100)*(1-partialExemption/100)-saverAllowance)*taxRate/100), 0)</f>
      </c>
      <c r="G14" s="9">
        <f>C14+D14+E14-F14</f>
      </c>
      <c r="H14" s="10">
        <f>(1+inflation/100)^13</f>
      </c>
      <c r="I14" s="9">
        <f>G14/H14</f>
      </c>
      <c r="J14" s="9">
        <f>J13+D14</f>
      </c>
      <c r="K14" s="9">
        <f>K13+E14</f>
      </c>
    </row>
    <row r="15" spans="1:11" x14ac:dyDescent="0.25">
      <c r="A15" s="8">
        <f>14</f>
      </c>
      <c r="B15" s="8">
        <f>currentAge+14-1</f>
      </c>
      <c r="C15" s="9">
        <f>G14</f>
      </c>
      <c r="D15" s="9">
        <f>IF((currentAge+14-1) &lt; fireAge, monthlySavings*12*(1+savingsDynamic/100)^(14-1), 0)</f>
      </c>
      <c r="E15" s="9">
        <f>IF((currentAge+14-1) &lt; fireAge, C15*expReturn/100 + D15*expReturn/200, 0)</f>
      </c>
      <c r="F15" s="9">
        <f>IF((currentAge+14-1) &lt; fireAge, MAX(0, (MIN(E15, C15*basiszins/100)*(1-partialExemption/100)-saverAllowance)*taxRate/100), 0)</f>
      </c>
      <c r="G15" s="9">
        <f>C15+D15+E15-F15</f>
      </c>
      <c r="H15" s="10">
        <f>(1+inflation/100)^14</f>
      </c>
      <c r="I15" s="9">
        <f>G15/H15</f>
      </c>
      <c r="J15" s="9">
        <f>J14+D15</f>
      </c>
      <c r="K15" s="9">
        <f>K14+E15</f>
      </c>
    </row>
    <row r="16" spans="1:11" x14ac:dyDescent="0.25">
      <c r="A16" s="8">
        <f>15</f>
      </c>
      <c r="B16" s="8">
        <f>currentAge+15-1</f>
      </c>
      <c r="C16" s="9">
        <f>G15</f>
      </c>
      <c r="D16" s="9">
        <f>IF((currentAge+15-1) &lt; fireAge, monthlySavings*12*(1+savingsDynamic/100)^(15-1), 0)</f>
      </c>
      <c r="E16" s="9">
        <f>IF((currentAge+15-1) &lt; fireAge, C16*expReturn/100 + D16*expReturn/200, 0)</f>
      </c>
      <c r="F16" s="9">
        <f>IF((currentAge+15-1) &lt; fireAge, MAX(0, (MIN(E16, C16*basiszins/100)*(1-partialExemption/100)-saverAllowance)*taxRate/100), 0)</f>
      </c>
      <c r="G16" s="9">
        <f>C16+D16+E16-F16</f>
      </c>
      <c r="H16" s="10">
        <f>(1+inflation/100)^15</f>
      </c>
      <c r="I16" s="9">
        <f>G16/H16</f>
      </c>
      <c r="J16" s="9">
        <f>J15+D16</f>
      </c>
      <c r="K16" s="9">
        <f>K15+E16</f>
      </c>
    </row>
    <row r="17" spans="1:11" x14ac:dyDescent="0.25">
      <c r="A17" s="8">
        <f>16</f>
      </c>
      <c r="B17" s="8">
        <f>currentAge+16-1</f>
      </c>
      <c r="C17" s="9">
        <f>G16</f>
      </c>
      <c r="D17" s="9">
        <f>IF((currentAge+16-1) &lt; fireAge, monthlySavings*12*(1+savingsDynamic/100)^(16-1), 0)</f>
      </c>
      <c r="E17" s="9">
        <f>IF((currentAge+16-1) &lt; fireAge, C17*expReturn/100 + D17*expReturn/200, 0)</f>
      </c>
      <c r="F17" s="9">
        <f>IF((currentAge+16-1) &lt; fireAge, MAX(0, (MIN(E17, C17*basiszins/100)*(1-partialExemption/100)-saverAllowance)*taxRate/100), 0)</f>
      </c>
      <c r="G17" s="9">
        <f>C17+D17+E17-F17</f>
      </c>
      <c r="H17" s="10">
        <f>(1+inflation/100)^16</f>
      </c>
      <c r="I17" s="9">
        <f>G17/H17</f>
      </c>
      <c r="J17" s="9">
        <f>J16+D17</f>
      </c>
      <c r="K17" s="9">
        <f>K16+E17</f>
      </c>
    </row>
    <row r="18" spans="1:11" x14ac:dyDescent="0.25">
      <c r="A18" s="8">
        <f>17</f>
      </c>
      <c r="B18" s="8">
        <f>currentAge+17-1</f>
      </c>
      <c r="C18" s="9">
        <f>G17</f>
      </c>
      <c r="D18" s="9">
        <f>IF((currentAge+17-1) &lt; fireAge, monthlySavings*12*(1+savingsDynamic/100)^(17-1), 0)</f>
      </c>
      <c r="E18" s="9">
        <f>IF((currentAge+17-1) &lt; fireAge, C18*expReturn/100 + D18*expReturn/200, 0)</f>
      </c>
      <c r="F18" s="9">
        <f>IF((currentAge+17-1) &lt; fireAge, MAX(0, (MIN(E18, C18*basiszins/100)*(1-partialExemption/100)-saverAllowance)*taxRate/100), 0)</f>
      </c>
      <c r="G18" s="9">
        <f>C18+D18+E18-F18</f>
      </c>
      <c r="H18" s="10">
        <f>(1+inflation/100)^17</f>
      </c>
      <c r="I18" s="9">
        <f>G18/H18</f>
      </c>
      <c r="J18" s="9">
        <f>J17+D18</f>
      </c>
      <c r="K18" s="9">
        <f>K17+E18</f>
      </c>
    </row>
    <row r="19" spans="1:11" x14ac:dyDescent="0.25">
      <c r="A19" s="8">
        <f>18</f>
      </c>
      <c r="B19" s="8">
        <f>currentAge+18-1</f>
      </c>
      <c r="C19" s="9">
        <f>G18</f>
      </c>
      <c r="D19" s="9">
        <f>IF((currentAge+18-1) &lt; fireAge, monthlySavings*12*(1+savingsDynamic/100)^(18-1), 0)</f>
      </c>
      <c r="E19" s="9">
        <f>IF((currentAge+18-1) &lt; fireAge, C19*expReturn/100 + D19*expReturn/200, 0)</f>
      </c>
      <c r="F19" s="9">
        <f>IF((currentAge+18-1) &lt; fireAge, MAX(0, (MIN(E19, C19*basiszins/100)*(1-partialExemption/100)-saverAllowance)*taxRate/100), 0)</f>
      </c>
      <c r="G19" s="9">
        <f>C19+D19+E19-F19</f>
      </c>
      <c r="H19" s="10">
        <f>(1+inflation/100)^18</f>
      </c>
      <c r="I19" s="9">
        <f>G19/H19</f>
      </c>
      <c r="J19" s="9">
        <f>J18+D19</f>
      </c>
      <c r="K19" s="9">
        <f>K18+E19</f>
      </c>
    </row>
    <row r="20" spans="1:11" x14ac:dyDescent="0.25">
      <c r="A20" s="8">
        <f>19</f>
      </c>
      <c r="B20" s="8">
        <f>currentAge+19-1</f>
      </c>
      <c r="C20" s="9">
        <f>G19</f>
      </c>
      <c r="D20" s="9">
        <f>IF((currentAge+19-1) &lt; fireAge, monthlySavings*12*(1+savingsDynamic/100)^(19-1), 0)</f>
      </c>
      <c r="E20" s="9">
        <f>IF((currentAge+19-1) &lt; fireAge, C20*expReturn/100 + D20*expReturn/200, 0)</f>
      </c>
      <c r="F20" s="9">
        <f>IF((currentAge+19-1) &lt; fireAge, MAX(0, (MIN(E20, C20*basiszins/100)*(1-partialExemption/100)-saverAllowance)*taxRate/100), 0)</f>
      </c>
      <c r="G20" s="9">
        <f>C20+D20+E20-F20</f>
      </c>
      <c r="H20" s="10">
        <f>(1+inflation/100)^19</f>
      </c>
      <c r="I20" s="9">
        <f>G20/H20</f>
      </c>
      <c r="J20" s="9">
        <f>J19+D20</f>
      </c>
      <c r="K20" s="9">
        <f>K19+E20</f>
      </c>
    </row>
    <row r="21" spans="1:11" x14ac:dyDescent="0.25">
      <c r="A21" s="8">
        <f>20</f>
      </c>
      <c r="B21" s="8">
        <f>currentAge+20-1</f>
      </c>
      <c r="C21" s="9">
        <f>G20</f>
      </c>
      <c r="D21" s="9">
        <f>IF((currentAge+20-1) &lt; fireAge, monthlySavings*12*(1+savingsDynamic/100)^(20-1), 0)</f>
      </c>
      <c r="E21" s="9">
        <f>IF((currentAge+20-1) &lt; fireAge, C21*expReturn/100 + D21*expReturn/200, 0)</f>
      </c>
      <c r="F21" s="9">
        <f>IF((currentAge+20-1) &lt; fireAge, MAX(0, (MIN(E21, C21*basiszins/100)*(1-partialExemption/100)-saverAllowance)*taxRate/100), 0)</f>
      </c>
      <c r="G21" s="9">
        <f>C21+D21+E21-F21</f>
      </c>
      <c r="H21" s="10">
        <f>(1+inflation/100)^20</f>
      </c>
      <c r="I21" s="9">
        <f>G21/H21</f>
      </c>
      <c r="J21" s="9">
        <f>J20+D21</f>
      </c>
      <c r="K21" s="9">
        <f>K20+E21</f>
      </c>
    </row>
    <row r="22" spans="1:11" x14ac:dyDescent="0.25">
      <c r="A22" s="8">
        <f>21</f>
      </c>
      <c r="B22" s="8">
        <f>currentAge+21-1</f>
      </c>
      <c r="C22" s="9">
        <f>G21</f>
      </c>
      <c r="D22" s="9">
        <f>IF((currentAge+21-1) &lt; fireAge, monthlySavings*12*(1+savingsDynamic/100)^(21-1), 0)</f>
      </c>
      <c r="E22" s="9">
        <f>IF((currentAge+21-1) &lt; fireAge, C22*expReturn/100 + D22*expReturn/200, 0)</f>
      </c>
      <c r="F22" s="9">
        <f>IF((currentAge+21-1) &lt; fireAge, MAX(0, (MIN(E22, C22*basiszins/100)*(1-partialExemption/100)-saverAllowance)*taxRate/100), 0)</f>
      </c>
      <c r="G22" s="9">
        <f>C22+D22+E22-F22</f>
      </c>
      <c r="H22" s="10">
        <f>(1+inflation/100)^21</f>
      </c>
      <c r="I22" s="9">
        <f>G22/H22</f>
      </c>
      <c r="J22" s="9">
        <f>J21+D22</f>
      </c>
      <c r="K22" s="9">
        <f>K21+E22</f>
      </c>
    </row>
    <row r="23" spans="1:11" x14ac:dyDescent="0.25">
      <c r="A23" s="8">
        <f>22</f>
      </c>
      <c r="B23" s="8">
        <f>currentAge+22-1</f>
      </c>
      <c r="C23" s="9">
        <f>G22</f>
      </c>
      <c r="D23" s="9">
        <f>IF((currentAge+22-1) &lt; fireAge, monthlySavings*12*(1+savingsDynamic/100)^(22-1), 0)</f>
      </c>
      <c r="E23" s="9">
        <f>IF((currentAge+22-1) &lt; fireAge, C23*expReturn/100 + D23*expReturn/200, 0)</f>
      </c>
      <c r="F23" s="9">
        <f>IF((currentAge+22-1) &lt; fireAge, MAX(0, (MIN(E23, C23*basiszins/100)*(1-partialExemption/100)-saverAllowance)*taxRate/100), 0)</f>
      </c>
      <c r="G23" s="9">
        <f>C23+D23+E23-F23</f>
      </c>
      <c r="H23" s="10">
        <f>(1+inflation/100)^22</f>
      </c>
      <c r="I23" s="9">
        <f>G23/H23</f>
      </c>
      <c r="J23" s="9">
        <f>J22+D23</f>
      </c>
      <c r="K23" s="9">
        <f>K22+E23</f>
      </c>
    </row>
    <row r="24" spans="1:11" x14ac:dyDescent="0.25">
      <c r="A24" s="8">
        <f>23</f>
      </c>
      <c r="B24" s="8">
        <f>currentAge+23-1</f>
      </c>
      <c r="C24" s="9">
        <f>G23</f>
      </c>
      <c r="D24" s="9">
        <f>IF((currentAge+23-1) &lt; fireAge, monthlySavings*12*(1+savingsDynamic/100)^(23-1), 0)</f>
      </c>
      <c r="E24" s="9">
        <f>IF((currentAge+23-1) &lt; fireAge, C24*expReturn/100 + D24*expReturn/200, 0)</f>
      </c>
      <c r="F24" s="9">
        <f>IF((currentAge+23-1) &lt; fireAge, MAX(0, (MIN(E24, C24*basiszins/100)*(1-partialExemption/100)-saverAllowance)*taxRate/100), 0)</f>
      </c>
      <c r="G24" s="9">
        <f>C24+D24+E24-F24</f>
      </c>
      <c r="H24" s="10">
        <f>(1+inflation/100)^23</f>
      </c>
      <c r="I24" s="9">
        <f>G24/H24</f>
      </c>
      <c r="J24" s="9">
        <f>J23+D24</f>
      </c>
      <c r="K24" s="9">
        <f>K23+E24</f>
      </c>
    </row>
    <row r="25" spans="1:11" x14ac:dyDescent="0.25">
      <c r="A25" s="8">
        <f>24</f>
      </c>
      <c r="B25" s="8">
        <f>currentAge+24-1</f>
      </c>
      <c r="C25" s="9">
        <f>G24</f>
      </c>
      <c r="D25" s="9">
        <f>IF((currentAge+24-1) &lt; fireAge, monthlySavings*12*(1+savingsDynamic/100)^(24-1), 0)</f>
      </c>
      <c r="E25" s="9">
        <f>IF((currentAge+24-1) &lt; fireAge, C25*expReturn/100 + D25*expReturn/200, 0)</f>
      </c>
      <c r="F25" s="9">
        <f>IF((currentAge+24-1) &lt; fireAge, MAX(0, (MIN(E25, C25*basiszins/100)*(1-partialExemption/100)-saverAllowance)*taxRate/100), 0)</f>
      </c>
      <c r="G25" s="9">
        <f>C25+D25+E25-F25</f>
      </c>
      <c r="H25" s="10">
        <f>(1+inflation/100)^24</f>
      </c>
      <c r="I25" s="9">
        <f>G25/H25</f>
      </c>
      <c r="J25" s="9">
        <f>J24+D25</f>
      </c>
      <c r="K25" s="9">
        <f>K24+E25</f>
      </c>
    </row>
    <row r="26" spans="1:11" x14ac:dyDescent="0.25">
      <c r="A26" s="8">
        <f>25</f>
      </c>
      <c r="B26" s="8">
        <f>currentAge+25-1</f>
      </c>
      <c r="C26" s="9">
        <f>G25</f>
      </c>
      <c r="D26" s="9">
        <f>IF((currentAge+25-1) &lt; fireAge, monthlySavings*12*(1+savingsDynamic/100)^(25-1), 0)</f>
      </c>
      <c r="E26" s="9">
        <f>IF((currentAge+25-1) &lt; fireAge, C26*expReturn/100 + D26*expReturn/200, 0)</f>
      </c>
      <c r="F26" s="9">
        <f>IF((currentAge+25-1) &lt; fireAge, MAX(0, (MIN(E26, C26*basiszins/100)*(1-partialExemption/100)-saverAllowance)*taxRate/100), 0)</f>
      </c>
      <c r="G26" s="9">
        <f>C26+D26+E26-F26</f>
      </c>
      <c r="H26" s="10">
        <f>(1+inflation/100)^25</f>
      </c>
      <c r="I26" s="9">
        <f>G26/H26</f>
      </c>
      <c r="J26" s="9">
        <f>J25+D26</f>
      </c>
      <c r="K26" s="9">
        <f>K25+E26</f>
      </c>
    </row>
    <row r="27" spans="1:11" x14ac:dyDescent="0.25">
      <c r="A27" s="8">
        <f>26</f>
      </c>
      <c r="B27" s="8">
        <f>currentAge+26-1</f>
      </c>
      <c r="C27" s="9">
        <f>G26</f>
      </c>
      <c r="D27" s="9">
        <f>IF((currentAge+26-1) &lt; fireAge, monthlySavings*12*(1+savingsDynamic/100)^(26-1), 0)</f>
      </c>
      <c r="E27" s="9">
        <f>IF((currentAge+26-1) &lt; fireAge, C27*expReturn/100 + D27*expReturn/200, 0)</f>
      </c>
      <c r="F27" s="9">
        <f>IF((currentAge+26-1) &lt; fireAge, MAX(0, (MIN(E27, C27*basiszins/100)*(1-partialExemption/100)-saverAllowance)*taxRate/100), 0)</f>
      </c>
      <c r="G27" s="9">
        <f>C27+D27+E27-F27</f>
      </c>
      <c r="H27" s="10">
        <f>(1+inflation/100)^26</f>
      </c>
      <c r="I27" s="9">
        <f>G27/H27</f>
      </c>
      <c r="J27" s="9">
        <f>J26+D27</f>
      </c>
      <c r="K27" s="9">
        <f>K26+E27</f>
      </c>
    </row>
    <row r="28" spans="1:11" x14ac:dyDescent="0.25">
      <c r="A28" s="8">
        <f>27</f>
      </c>
      <c r="B28" s="8">
        <f>currentAge+27-1</f>
      </c>
      <c r="C28" s="9">
        <f>G27</f>
      </c>
      <c r="D28" s="9">
        <f>IF((currentAge+27-1) &lt; fireAge, monthlySavings*12*(1+savingsDynamic/100)^(27-1), 0)</f>
      </c>
      <c r="E28" s="9">
        <f>IF((currentAge+27-1) &lt; fireAge, C28*expReturn/100 + D28*expReturn/200, 0)</f>
      </c>
      <c r="F28" s="9">
        <f>IF((currentAge+27-1) &lt; fireAge, MAX(0, (MIN(E28, C28*basiszins/100)*(1-partialExemption/100)-saverAllowance)*taxRate/100), 0)</f>
      </c>
      <c r="G28" s="9">
        <f>C28+D28+E28-F28</f>
      </c>
      <c r="H28" s="10">
        <f>(1+inflation/100)^27</f>
      </c>
      <c r="I28" s="9">
        <f>G28/H28</f>
      </c>
      <c r="J28" s="9">
        <f>J27+D28</f>
      </c>
      <c r="K28" s="9">
        <f>K27+E28</f>
      </c>
    </row>
    <row r="29" spans="1:11" x14ac:dyDescent="0.25">
      <c r="A29" s="8">
        <f>28</f>
      </c>
      <c r="B29" s="8">
        <f>currentAge+28-1</f>
      </c>
      <c r="C29" s="9">
        <f>G28</f>
      </c>
      <c r="D29" s="9">
        <f>IF((currentAge+28-1) &lt; fireAge, monthlySavings*12*(1+savingsDynamic/100)^(28-1), 0)</f>
      </c>
      <c r="E29" s="9">
        <f>IF((currentAge+28-1) &lt; fireAge, C29*expReturn/100 + D29*expReturn/200, 0)</f>
      </c>
      <c r="F29" s="9">
        <f>IF((currentAge+28-1) &lt; fireAge, MAX(0, (MIN(E29, C29*basiszins/100)*(1-partialExemption/100)-saverAllowance)*taxRate/100), 0)</f>
      </c>
      <c r="G29" s="9">
        <f>C29+D29+E29-F29</f>
      </c>
      <c r="H29" s="10">
        <f>(1+inflation/100)^28</f>
      </c>
      <c r="I29" s="9">
        <f>G29/H29</f>
      </c>
      <c r="J29" s="9">
        <f>J28+D29</f>
      </c>
      <c r="K29" s="9">
        <f>K28+E29</f>
      </c>
    </row>
    <row r="30" spans="1:11" x14ac:dyDescent="0.25">
      <c r="A30" s="8">
        <f>29</f>
      </c>
      <c r="B30" s="8">
        <f>currentAge+29-1</f>
      </c>
      <c r="C30" s="9">
        <f>G29</f>
      </c>
      <c r="D30" s="9">
        <f>IF((currentAge+29-1) &lt; fireAge, monthlySavings*12*(1+savingsDynamic/100)^(29-1), 0)</f>
      </c>
      <c r="E30" s="9">
        <f>IF((currentAge+29-1) &lt; fireAge, C30*expReturn/100 + D30*expReturn/200, 0)</f>
      </c>
      <c r="F30" s="9">
        <f>IF((currentAge+29-1) &lt; fireAge, MAX(0, (MIN(E30, C30*basiszins/100)*(1-partialExemption/100)-saverAllowance)*taxRate/100), 0)</f>
      </c>
      <c r="G30" s="9">
        <f>C30+D30+E30-F30</f>
      </c>
      <c r="H30" s="10">
        <f>(1+inflation/100)^29</f>
      </c>
      <c r="I30" s="9">
        <f>G30/H30</f>
      </c>
      <c r="J30" s="9">
        <f>J29+D30</f>
      </c>
      <c r="K30" s="9">
        <f>K29+E30</f>
      </c>
    </row>
    <row r="31" spans="1:11" x14ac:dyDescent="0.25">
      <c r="A31" s="8">
        <f>30</f>
      </c>
      <c r="B31" s="8">
        <f>currentAge+30-1</f>
      </c>
      <c r="C31" s="9">
        <f>G30</f>
      </c>
      <c r="D31" s="9">
        <f>IF((currentAge+30-1) &lt; fireAge, monthlySavings*12*(1+savingsDynamic/100)^(30-1), 0)</f>
      </c>
      <c r="E31" s="9">
        <f>IF((currentAge+30-1) &lt; fireAge, C31*expReturn/100 + D31*expReturn/200, 0)</f>
      </c>
      <c r="F31" s="9">
        <f>IF((currentAge+30-1) &lt; fireAge, MAX(0, (MIN(E31, C31*basiszins/100)*(1-partialExemption/100)-saverAllowance)*taxRate/100), 0)</f>
      </c>
      <c r="G31" s="9">
        <f>C31+D31+E31-F31</f>
      </c>
      <c r="H31" s="10">
        <f>(1+inflation/100)^30</f>
      </c>
      <c r="I31" s="9">
        <f>G31/H31</f>
      </c>
      <c r="J31" s="9">
        <f>J30+D31</f>
      </c>
      <c r="K31" s="9">
        <f>K30+E31</f>
      </c>
    </row>
    <row r="32" spans="1:11" x14ac:dyDescent="0.25">
      <c r="A32" s="8">
        <f>31</f>
      </c>
      <c r="B32" s="8">
        <f>currentAge+31-1</f>
      </c>
      <c r="C32" s="9">
        <f>G31</f>
      </c>
      <c r="D32" s="9">
        <f>IF((currentAge+31-1) &lt; fireAge, monthlySavings*12*(1+savingsDynamic/100)^(31-1), 0)</f>
      </c>
      <c r="E32" s="9">
        <f>IF((currentAge+31-1) &lt; fireAge, C32*expReturn/100 + D32*expReturn/200, 0)</f>
      </c>
      <c r="F32" s="9">
        <f>IF((currentAge+31-1) &lt; fireAge, MAX(0, (MIN(E32, C32*basiszins/100)*(1-partialExemption/100)-saverAllowance)*taxRate/100), 0)</f>
      </c>
      <c r="G32" s="9">
        <f>C32+D32+E32-F32</f>
      </c>
      <c r="H32" s="10">
        <f>(1+inflation/100)^31</f>
      </c>
      <c r="I32" s="9">
        <f>G32/H32</f>
      </c>
      <c r="J32" s="9">
        <f>J31+D32</f>
      </c>
      <c r="K32" s="9">
        <f>K31+E32</f>
      </c>
    </row>
    <row r="33" spans="1:11" x14ac:dyDescent="0.25">
      <c r="A33" s="8">
        <f>32</f>
      </c>
      <c r="B33" s="8">
        <f>currentAge+32-1</f>
      </c>
      <c r="C33" s="9">
        <f>G32</f>
      </c>
      <c r="D33" s="9">
        <f>IF((currentAge+32-1) &lt; fireAge, monthlySavings*12*(1+savingsDynamic/100)^(32-1), 0)</f>
      </c>
      <c r="E33" s="9">
        <f>IF((currentAge+32-1) &lt; fireAge, C33*expReturn/100 + D33*expReturn/200, 0)</f>
      </c>
      <c r="F33" s="9">
        <f>IF((currentAge+32-1) &lt; fireAge, MAX(0, (MIN(E33, C33*basiszins/100)*(1-partialExemption/100)-saverAllowance)*taxRate/100), 0)</f>
      </c>
      <c r="G33" s="9">
        <f>C33+D33+E33-F33</f>
      </c>
      <c r="H33" s="10">
        <f>(1+inflation/100)^32</f>
      </c>
      <c r="I33" s="9">
        <f>G33/H33</f>
      </c>
      <c r="J33" s="9">
        <f>J32+D33</f>
      </c>
      <c r="K33" s="9">
        <f>K32+E33</f>
      </c>
    </row>
    <row r="34" spans="1:11" x14ac:dyDescent="0.25">
      <c r="A34" s="8">
        <f>33</f>
      </c>
      <c r="B34" s="8">
        <f>currentAge+33-1</f>
      </c>
      <c r="C34" s="9">
        <f>G33</f>
      </c>
      <c r="D34" s="9">
        <f>IF((currentAge+33-1) &lt; fireAge, monthlySavings*12*(1+savingsDynamic/100)^(33-1), 0)</f>
      </c>
      <c r="E34" s="9">
        <f>IF((currentAge+33-1) &lt; fireAge, C34*expReturn/100 + D34*expReturn/200, 0)</f>
      </c>
      <c r="F34" s="9">
        <f>IF((currentAge+33-1) &lt; fireAge, MAX(0, (MIN(E34, C34*basiszins/100)*(1-partialExemption/100)-saverAllowance)*taxRate/100), 0)</f>
      </c>
      <c r="G34" s="9">
        <f>C34+D34+E34-F34</f>
      </c>
      <c r="H34" s="10">
        <f>(1+inflation/100)^33</f>
      </c>
      <c r="I34" s="9">
        <f>G34/H34</f>
      </c>
      <c r="J34" s="9">
        <f>J33+D34</f>
      </c>
      <c r="K34" s="9">
        <f>K33+E34</f>
      </c>
    </row>
    <row r="35" spans="1:11" x14ac:dyDescent="0.25">
      <c r="A35" s="8">
        <f>34</f>
      </c>
      <c r="B35" s="8">
        <f>currentAge+34-1</f>
      </c>
      <c r="C35" s="9">
        <f>G34</f>
      </c>
      <c r="D35" s="9">
        <f>IF((currentAge+34-1) &lt; fireAge, monthlySavings*12*(1+savingsDynamic/100)^(34-1), 0)</f>
      </c>
      <c r="E35" s="9">
        <f>IF((currentAge+34-1) &lt; fireAge, C35*expReturn/100 + D35*expReturn/200, 0)</f>
      </c>
      <c r="F35" s="9">
        <f>IF((currentAge+34-1) &lt; fireAge, MAX(0, (MIN(E35, C35*basiszins/100)*(1-partialExemption/100)-saverAllowance)*taxRate/100), 0)</f>
      </c>
      <c r="G35" s="9">
        <f>C35+D35+E35-F35</f>
      </c>
      <c r="H35" s="10">
        <f>(1+inflation/100)^34</f>
      </c>
      <c r="I35" s="9">
        <f>G35/H35</f>
      </c>
      <c r="J35" s="9">
        <f>J34+D35</f>
      </c>
      <c r="K35" s="9">
        <f>K34+E35</f>
      </c>
    </row>
    <row r="36" spans="1:11" x14ac:dyDescent="0.25">
      <c r="A36" s="8">
        <f>35</f>
      </c>
      <c r="B36" s="8">
        <f>currentAge+35-1</f>
      </c>
      <c r="C36" s="9">
        <f>G35</f>
      </c>
      <c r="D36" s="9">
        <f>IF((currentAge+35-1) &lt; fireAge, monthlySavings*12*(1+savingsDynamic/100)^(35-1), 0)</f>
      </c>
      <c r="E36" s="9">
        <f>IF((currentAge+35-1) &lt; fireAge, C36*expReturn/100 + D36*expReturn/200, 0)</f>
      </c>
      <c r="F36" s="9">
        <f>IF((currentAge+35-1) &lt; fireAge, MAX(0, (MIN(E36, C36*basiszins/100)*(1-partialExemption/100)-saverAllowance)*taxRate/100), 0)</f>
      </c>
      <c r="G36" s="9">
        <f>C36+D36+E36-F36</f>
      </c>
      <c r="H36" s="10">
        <f>(1+inflation/100)^35</f>
      </c>
      <c r="I36" s="9">
        <f>G36/H36</f>
      </c>
      <c r="J36" s="9">
        <f>J35+D36</f>
      </c>
      <c r="K36" s="9">
        <f>K35+E36</f>
      </c>
    </row>
    <row r="37" spans="1:11" x14ac:dyDescent="0.25">
      <c r="A37" s="8">
        <f>36</f>
      </c>
      <c r="B37" s="8">
        <f>currentAge+36-1</f>
      </c>
      <c r="C37" s="9">
        <f>G36</f>
      </c>
      <c r="D37" s="9">
        <f>IF((currentAge+36-1) &lt; fireAge, monthlySavings*12*(1+savingsDynamic/100)^(36-1), 0)</f>
      </c>
      <c r="E37" s="9">
        <f>IF((currentAge+36-1) &lt; fireAge, C37*expReturn/100 + D37*expReturn/200, 0)</f>
      </c>
      <c r="F37" s="9">
        <f>IF((currentAge+36-1) &lt; fireAge, MAX(0, (MIN(E37, C37*basiszins/100)*(1-partialExemption/100)-saverAllowance)*taxRate/100), 0)</f>
      </c>
      <c r="G37" s="9">
        <f>C37+D37+E37-F37</f>
      </c>
      <c r="H37" s="10">
        <f>(1+inflation/100)^36</f>
      </c>
      <c r="I37" s="9">
        <f>G37/H37</f>
      </c>
      <c r="J37" s="9">
        <f>J36+D37</f>
      </c>
      <c r="K37" s="9">
        <f>K36+E37</f>
      </c>
    </row>
    <row r="38" spans="1:11" x14ac:dyDescent="0.25">
      <c r="A38" s="8">
        <f>37</f>
      </c>
      <c r="B38" s="8">
        <f>currentAge+37-1</f>
      </c>
      <c r="C38" s="9">
        <f>G37</f>
      </c>
      <c r="D38" s="9">
        <f>IF((currentAge+37-1) &lt; fireAge, monthlySavings*12*(1+savingsDynamic/100)^(37-1), 0)</f>
      </c>
      <c r="E38" s="9">
        <f>IF((currentAge+37-1) &lt; fireAge, C38*expReturn/100 + D38*expReturn/200, 0)</f>
      </c>
      <c r="F38" s="9">
        <f>IF((currentAge+37-1) &lt; fireAge, MAX(0, (MIN(E38, C38*basiszins/100)*(1-partialExemption/100)-saverAllowance)*taxRate/100), 0)</f>
      </c>
      <c r="G38" s="9">
        <f>C38+D38+E38-F38</f>
      </c>
      <c r="H38" s="10">
        <f>(1+inflation/100)^37</f>
      </c>
      <c r="I38" s="9">
        <f>G38/H38</f>
      </c>
      <c r="J38" s="9">
        <f>J37+D38</f>
      </c>
      <c r="K38" s="9">
        <f>K37+E38</f>
      </c>
    </row>
    <row r="39" spans="1:11" x14ac:dyDescent="0.25">
      <c r="A39" s="8">
        <f>38</f>
      </c>
      <c r="B39" s="8">
        <f>currentAge+38-1</f>
      </c>
      <c r="C39" s="9">
        <f>G38</f>
      </c>
      <c r="D39" s="9">
        <f>IF((currentAge+38-1) &lt; fireAge, monthlySavings*12*(1+savingsDynamic/100)^(38-1), 0)</f>
      </c>
      <c r="E39" s="9">
        <f>IF((currentAge+38-1) &lt; fireAge, C39*expReturn/100 + D39*expReturn/200, 0)</f>
      </c>
      <c r="F39" s="9">
        <f>IF((currentAge+38-1) &lt; fireAge, MAX(0, (MIN(E39, C39*basiszins/100)*(1-partialExemption/100)-saverAllowance)*taxRate/100), 0)</f>
      </c>
      <c r="G39" s="9">
        <f>C39+D39+E39-F39</f>
      </c>
      <c r="H39" s="10">
        <f>(1+inflation/100)^38</f>
      </c>
      <c r="I39" s="9">
        <f>G39/H39</f>
      </c>
      <c r="J39" s="9">
        <f>J38+D39</f>
      </c>
      <c r="K39" s="9">
        <f>K38+E39</f>
      </c>
    </row>
    <row r="40" spans="1:11" x14ac:dyDescent="0.25">
      <c r="A40" s="8">
        <f>39</f>
      </c>
      <c r="B40" s="8">
        <f>currentAge+39-1</f>
      </c>
      <c r="C40" s="9">
        <f>G39</f>
      </c>
      <c r="D40" s="9">
        <f>IF((currentAge+39-1) &lt; fireAge, monthlySavings*12*(1+savingsDynamic/100)^(39-1), 0)</f>
      </c>
      <c r="E40" s="9">
        <f>IF((currentAge+39-1) &lt; fireAge, C40*expReturn/100 + D40*expReturn/200, 0)</f>
      </c>
      <c r="F40" s="9">
        <f>IF((currentAge+39-1) &lt; fireAge, MAX(0, (MIN(E40, C40*basiszins/100)*(1-partialExemption/100)-saverAllowance)*taxRate/100), 0)</f>
      </c>
      <c r="G40" s="9">
        <f>C40+D40+E40-F40</f>
      </c>
      <c r="H40" s="10">
        <f>(1+inflation/100)^39</f>
      </c>
      <c r="I40" s="9">
        <f>G40/H40</f>
      </c>
      <c r="J40" s="9">
        <f>J39+D40</f>
      </c>
      <c r="K40" s="9">
        <f>K39+E40</f>
      </c>
    </row>
    <row r="41" spans="1:11" x14ac:dyDescent="0.25">
      <c r="A41" s="8">
        <f>40</f>
      </c>
      <c r="B41" s="8">
        <f>currentAge+40-1</f>
      </c>
      <c r="C41" s="9">
        <f>G40</f>
      </c>
      <c r="D41" s="9">
        <f>IF((currentAge+40-1) &lt; fireAge, monthlySavings*12*(1+savingsDynamic/100)^(40-1), 0)</f>
      </c>
      <c r="E41" s="9">
        <f>IF((currentAge+40-1) &lt; fireAge, C41*expReturn/100 + D41*expReturn/200, 0)</f>
      </c>
      <c r="F41" s="9">
        <f>IF((currentAge+40-1) &lt; fireAge, MAX(0, (MIN(E41, C41*basiszins/100)*(1-partialExemption/100)-saverAllowance)*taxRate/100), 0)</f>
      </c>
      <c r="G41" s="9">
        <f>C41+D41+E41-F41</f>
      </c>
      <c r="H41" s="10">
        <f>(1+inflation/100)^40</f>
      </c>
      <c r="I41" s="9">
        <f>G41/H41</f>
      </c>
      <c r="J41" s="9">
        <f>J40+D41</f>
      </c>
      <c r="K41" s="9">
        <f>K40+E41</f>
      </c>
    </row>
    <row r="42" spans="1:11" x14ac:dyDescent="0.25">
      <c r="A42" s="8">
        <f>41</f>
      </c>
      <c r="B42" s="8">
        <f>currentAge+41-1</f>
      </c>
      <c r="C42" s="9">
        <f>G41</f>
      </c>
      <c r="D42" s="9">
        <f>IF((currentAge+41-1) &lt; fireAge, monthlySavings*12*(1+savingsDynamic/100)^(41-1), 0)</f>
      </c>
      <c r="E42" s="9">
        <f>IF((currentAge+41-1) &lt; fireAge, C42*expReturn/100 + D42*expReturn/200, 0)</f>
      </c>
      <c r="F42" s="9">
        <f>IF((currentAge+41-1) &lt; fireAge, MAX(0, (MIN(E42, C42*basiszins/100)*(1-partialExemption/100)-saverAllowance)*taxRate/100), 0)</f>
      </c>
      <c r="G42" s="9">
        <f>C42+D42+E42-F42</f>
      </c>
      <c r="H42" s="10">
        <f>(1+inflation/100)^41</f>
      </c>
      <c r="I42" s="9">
        <f>G42/H42</f>
      </c>
      <c r="J42" s="9">
        <f>J41+D42</f>
      </c>
      <c r="K42" s="9">
        <f>K41+E42</f>
      </c>
    </row>
    <row r="43" spans="1:11" x14ac:dyDescent="0.25">
      <c r="A43" s="8">
        <f>42</f>
      </c>
      <c r="B43" s="8">
        <f>currentAge+42-1</f>
      </c>
      <c r="C43" s="9">
        <f>G42</f>
      </c>
      <c r="D43" s="9">
        <f>IF((currentAge+42-1) &lt; fireAge, monthlySavings*12*(1+savingsDynamic/100)^(42-1), 0)</f>
      </c>
      <c r="E43" s="9">
        <f>IF((currentAge+42-1) &lt; fireAge, C43*expReturn/100 + D43*expReturn/200, 0)</f>
      </c>
      <c r="F43" s="9">
        <f>IF((currentAge+42-1) &lt; fireAge, MAX(0, (MIN(E43, C43*basiszins/100)*(1-partialExemption/100)-saverAllowance)*taxRate/100), 0)</f>
      </c>
      <c r="G43" s="9">
        <f>C43+D43+E43-F43</f>
      </c>
      <c r="H43" s="10">
        <f>(1+inflation/100)^42</f>
      </c>
      <c r="I43" s="9">
        <f>G43/H43</f>
      </c>
      <c r="J43" s="9">
        <f>J42+D43</f>
      </c>
      <c r="K43" s="9">
        <f>K42+E43</f>
      </c>
    </row>
    <row r="44" spans="1:11" x14ac:dyDescent="0.25">
      <c r="A44" s="8">
        <f>43</f>
      </c>
      <c r="B44" s="8">
        <f>currentAge+43-1</f>
      </c>
      <c r="C44" s="9">
        <f>G43</f>
      </c>
      <c r="D44" s="9">
        <f>IF((currentAge+43-1) &lt; fireAge, monthlySavings*12*(1+savingsDynamic/100)^(43-1), 0)</f>
      </c>
      <c r="E44" s="9">
        <f>IF((currentAge+43-1) &lt; fireAge, C44*expReturn/100 + D44*expReturn/200, 0)</f>
      </c>
      <c r="F44" s="9">
        <f>IF((currentAge+43-1) &lt; fireAge, MAX(0, (MIN(E44, C44*basiszins/100)*(1-partialExemption/100)-saverAllowance)*taxRate/100), 0)</f>
      </c>
      <c r="G44" s="9">
        <f>C44+D44+E44-F44</f>
      </c>
      <c r="H44" s="10">
        <f>(1+inflation/100)^43</f>
      </c>
      <c r="I44" s="9">
        <f>G44/H44</f>
      </c>
      <c r="J44" s="9">
        <f>J43+D44</f>
      </c>
      <c r="K44" s="9">
        <f>K43+E44</f>
      </c>
    </row>
    <row r="45" spans="1:11" x14ac:dyDescent="0.25">
      <c r="A45" s="8">
        <f>44</f>
      </c>
      <c r="B45" s="8">
        <f>currentAge+44-1</f>
      </c>
      <c r="C45" s="9">
        <f>G44</f>
      </c>
      <c r="D45" s="9">
        <f>IF((currentAge+44-1) &lt; fireAge, monthlySavings*12*(1+savingsDynamic/100)^(44-1), 0)</f>
      </c>
      <c r="E45" s="9">
        <f>IF((currentAge+44-1) &lt; fireAge, C45*expReturn/100 + D45*expReturn/200, 0)</f>
      </c>
      <c r="F45" s="9">
        <f>IF((currentAge+44-1) &lt; fireAge, MAX(0, (MIN(E45, C45*basiszins/100)*(1-partialExemption/100)-saverAllowance)*taxRate/100), 0)</f>
      </c>
      <c r="G45" s="9">
        <f>C45+D45+E45-F45</f>
      </c>
      <c r="H45" s="10">
        <f>(1+inflation/100)^44</f>
      </c>
      <c r="I45" s="9">
        <f>G45/H45</f>
      </c>
      <c r="J45" s="9">
        <f>J44+D45</f>
      </c>
      <c r="K45" s="9">
        <f>K44+E45</f>
      </c>
    </row>
    <row r="46" spans="1:11" x14ac:dyDescent="0.25">
      <c r="A46" s="8">
        <f>45</f>
      </c>
      <c r="B46" s="8">
        <f>currentAge+45-1</f>
      </c>
      <c r="C46" s="9">
        <f>G45</f>
      </c>
      <c r="D46" s="9">
        <f>IF((currentAge+45-1) &lt; fireAge, monthlySavings*12*(1+savingsDynamic/100)^(45-1), 0)</f>
      </c>
      <c r="E46" s="9">
        <f>IF((currentAge+45-1) &lt; fireAge, C46*expReturn/100 + D46*expReturn/200, 0)</f>
      </c>
      <c r="F46" s="9">
        <f>IF((currentAge+45-1) &lt; fireAge, MAX(0, (MIN(E46, C46*basiszins/100)*(1-partialExemption/100)-saverAllowance)*taxRate/100), 0)</f>
      </c>
      <c r="G46" s="9">
        <f>C46+D46+E46-F46</f>
      </c>
      <c r="H46" s="10">
        <f>(1+inflation/100)^45</f>
      </c>
      <c r="I46" s="9">
        <f>G46/H46</f>
      </c>
      <c r="J46" s="9">
        <f>J45+D46</f>
      </c>
      <c r="K46" s="9">
        <f>K45+E46</f>
      </c>
    </row>
    <row r="47" spans="1:11" x14ac:dyDescent="0.25">
      <c r="A47" s="8">
        <f>46</f>
      </c>
      <c r="B47" s="8">
        <f>currentAge+46-1</f>
      </c>
      <c r="C47" s="9">
        <f>G46</f>
      </c>
      <c r="D47" s="9">
        <f>IF((currentAge+46-1) &lt; fireAge, monthlySavings*12*(1+savingsDynamic/100)^(46-1), 0)</f>
      </c>
      <c r="E47" s="9">
        <f>IF((currentAge+46-1) &lt; fireAge, C47*expReturn/100 + D47*expReturn/200, 0)</f>
      </c>
      <c r="F47" s="9">
        <f>IF((currentAge+46-1) &lt; fireAge, MAX(0, (MIN(E47, C47*basiszins/100)*(1-partialExemption/100)-saverAllowance)*taxRate/100), 0)</f>
      </c>
      <c r="G47" s="9">
        <f>C47+D47+E47-F47</f>
      </c>
      <c r="H47" s="10">
        <f>(1+inflation/100)^46</f>
      </c>
      <c r="I47" s="9">
        <f>G47/H47</f>
      </c>
      <c r="J47" s="9">
        <f>J46+D47</f>
      </c>
      <c r="K47" s="9">
        <f>K46+E47</f>
      </c>
    </row>
    <row r="48" spans="1:11" x14ac:dyDescent="0.25">
      <c r="A48" s="8">
        <f>47</f>
      </c>
      <c r="B48" s="8">
        <f>currentAge+47-1</f>
      </c>
      <c r="C48" s="9">
        <f>G47</f>
      </c>
      <c r="D48" s="9">
        <f>IF((currentAge+47-1) &lt; fireAge, monthlySavings*12*(1+savingsDynamic/100)^(47-1), 0)</f>
      </c>
      <c r="E48" s="9">
        <f>IF((currentAge+47-1) &lt; fireAge, C48*expReturn/100 + D48*expReturn/200, 0)</f>
      </c>
      <c r="F48" s="9">
        <f>IF((currentAge+47-1) &lt; fireAge, MAX(0, (MIN(E48, C48*basiszins/100)*(1-partialExemption/100)-saverAllowance)*taxRate/100), 0)</f>
      </c>
      <c r="G48" s="9">
        <f>C48+D48+E48-F48</f>
      </c>
      <c r="H48" s="10">
        <f>(1+inflation/100)^47</f>
      </c>
      <c r="I48" s="9">
        <f>G48/H48</f>
      </c>
      <c r="J48" s="9">
        <f>J47+D48</f>
      </c>
      <c r="K48" s="9">
        <f>K47+E48</f>
      </c>
    </row>
    <row r="49" spans="1:11" x14ac:dyDescent="0.25">
      <c r="A49" s="8">
        <f>48</f>
      </c>
      <c r="B49" s="8">
        <f>currentAge+48-1</f>
      </c>
      <c r="C49" s="9">
        <f>G48</f>
      </c>
      <c r="D49" s="9">
        <f>IF((currentAge+48-1) &lt; fireAge, monthlySavings*12*(1+savingsDynamic/100)^(48-1), 0)</f>
      </c>
      <c r="E49" s="9">
        <f>IF((currentAge+48-1) &lt; fireAge, C49*expReturn/100 + D49*expReturn/200, 0)</f>
      </c>
      <c r="F49" s="9">
        <f>IF((currentAge+48-1) &lt; fireAge, MAX(0, (MIN(E49, C49*basiszins/100)*(1-partialExemption/100)-saverAllowance)*taxRate/100), 0)</f>
      </c>
      <c r="G49" s="9">
        <f>C49+D49+E49-F49</f>
      </c>
      <c r="H49" s="10">
        <f>(1+inflation/100)^48</f>
      </c>
      <c r="I49" s="9">
        <f>G49/H49</f>
      </c>
      <c r="J49" s="9">
        <f>J48+D49</f>
      </c>
      <c r="K49" s="9">
        <f>K48+E49</f>
      </c>
    </row>
    <row r="50" spans="1:11" x14ac:dyDescent="0.25">
      <c r="A50" s="8">
        <f>49</f>
      </c>
      <c r="B50" s="8">
        <f>currentAge+49-1</f>
      </c>
      <c r="C50" s="9">
        <f>G49</f>
      </c>
      <c r="D50" s="9">
        <f>IF((currentAge+49-1) &lt; fireAge, monthlySavings*12*(1+savingsDynamic/100)^(49-1), 0)</f>
      </c>
      <c r="E50" s="9">
        <f>IF((currentAge+49-1) &lt; fireAge, C50*expReturn/100 + D50*expReturn/200, 0)</f>
      </c>
      <c r="F50" s="9">
        <f>IF((currentAge+49-1) &lt; fireAge, MAX(0, (MIN(E50, C50*basiszins/100)*(1-partialExemption/100)-saverAllowance)*taxRate/100), 0)</f>
      </c>
      <c r="G50" s="9">
        <f>C50+D50+E50-F50</f>
      </c>
      <c r="H50" s="10">
        <f>(1+inflation/100)^49</f>
      </c>
      <c r="I50" s="9">
        <f>G50/H50</f>
      </c>
      <c r="J50" s="9">
        <f>J49+D50</f>
      </c>
      <c r="K50" s="9">
        <f>K49+E50</f>
      </c>
    </row>
    <row r="51" spans="1:11" x14ac:dyDescent="0.25">
      <c r="A51" s="8">
        <f>50</f>
      </c>
      <c r="B51" s="8">
        <f>currentAge+50-1</f>
      </c>
      <c r="C51" s="9">
        <f>G50</f>
      </c>
      <c r="D51" s="9">
        <f>IF((currentAge+50-1) &lt; fireAge, monthlySavings*12*(1+savingsDynamic/100)^(50-1), 0)</f>
      </c>
      <c r="E51" s="9">
        <f>IF((currentAge+50-1) &lt; fireAge, C51*expReturn/100 + D51*expReturn/200, 0)</f>
      </c>
      <c r="F51" s="9">
        <f>IF((currentAge+50-1) &lt; fireAge, MAX(0, (MIN(E51, C51*basiszins/100)*(1-partialExemption/100)-saverAllowance)*taxRate/100), 0)</f>
      </c>
      <c r="G51" s="9">
        <f>C51+D51+E51-F51</f>
      </c>
      <c r="H51" s="10">
        <f>(1+inflation/100)^50</f>
      </c>
      <c r="I51" s="9">
        <f>G51/H51</f>
      </c>
      <c r="J51" s="9">
        <f>J50+D51</f>
      </c>
      <c r="K51" s="9">
        <f>K50+E51</f>
      </c>
    </row>
    <row r="52" spans="1:11" x14ac:dyDescent="0.25">
      <c r="A52" s="8">
        <f>51</f>
      </c>
      <c r="B52" s="8">
        <f>currentAge+51-1</f>
      </c>
      <c r="C52" s="9">
        <f>G51</f>
      </c>
      <c r="D52" s="9">
        <f>IF((currentAge+51-1) &lt; fireAge, monthlySavings*12*(1+savingsDynamic/100)^(51-1), 0)</f>
      </c>
      <c r="E52" s="9">
        <f>IF((currentAge+51-1) &lt; fireAge, C52*expReturn/100 + D52*expReturn/200, 0)</f>
      </c>
      <c r="F52" s="9">
        <f>IF((currentAge+51-1) &lt; fireAge, MAX(0, (MIN(E52, C52*basiszins/100)*(1-partialExemption/100)-saverAllowance)*taxRate/100), 0)</f>
      </c>
      <c r="G52" s="9">
        <f>C52+D52+E52-F52</f>
      </c>
      <c r="H52" s="10">
        <f>(1+inflation/100)^51</f>
      </c>
      <c r="I52" s="9">
        <f>G52/H52</f>
      </c>
      <c r="J52" s="9">
        <f>J51+D52</f>
      </c>
      <c r="K52" s="9">
        <f>K51+E52</f>
      </c>
    </row>
    <row r="53" spans="1:11" x14ac:dyDescent="0.25">
      <c r="A53" s="8">
        <f>52</f>
      </c>
      <c r="B53" s="8">
        <f>currentAge+52-1</f>
      </c>
      <c r="C53" s="9">
        <f>G52</f>
      </c>
      <c r="D53" s="9">
        <f>IF((currentAge+52-1) &lt; fireAge, monthlySavings*12*(1+savingsDynamic/100)^(52-1), 0)</f>
      </c>
      <c r="E53" s="9">
        <f>IF((currentAge+52-1) &lt; fireAge, C53*expReturn/100 + D53*expReturn/200, 0)</f>
      </c>
      <c r="F53" s="9">
        <f>IF((currentAge+52-1) &lt; fireAge, MAX(0, (MIN(E53, C53*basiszins/100)*(1-partialExemption/100)-saverAllowance)*taxRate/100), 0)</f>
      </c>
      <c r="G53" s="9">
        <f>C53+D53+E53-F53</f>
      </c>
      <c r="H53" s="10">
        <f>(1+inflation/100)^52</f>
      </c>
      <c r="I53" s="9">
        <f>G53/H53</f>
      </c>
      <c r="J53" s="9">
        <f>J52+D53</f>
      </c>
      <c r="K53" s="9">
        <f>K52+E53</f>
      </c>
    </row>
    <row r="54" spans="1:11" x14ac:dyDescent="0.25">
      <c r="A54" s="8">
        <f>53</f>
      </c>
      <c r="B54" s="8">
        <f>currentAge+53-1</f>
      </c>
      <c r="C54" s="9">
        <f>G53</f>
      </c>
      <c r="D54" s="9">
        <f>IF((currentAge+53-1) &lt; fireAge, monthlySavings*12*(1+savingsDynamic/100)^(53-1), 0)</f>
      </c>
      <c r="E54" s="9">
        <f>IF((currentAge+53-1) &lt; fireAge, C54*expReturn/100 + D54*expReturn/200, 0)</f>
      </c>
      <c r="F54" s="9">
        <f>IF((currentAge+53-1) &lt; fireAge, MAX(0, (MIN(E54, C54*basiszins/100)*(1-partialExemption/100)-saverAllowance)*taxRate/100), 0)</f>
      </c>
      <c r="G54" s="9">
        <f>C54+D54+E54-F54</f>
      </c>
      <c r="H54" s="10">
        <f>(1+inflation/100)^53</f>
      </c>
      <c r="I54" s="9">
        <f>G54/H54</f>
      </c>
      <c r="J54" s="9">
        <f>J53+D54</f>
      </c>
      <c r="K54" s="9">
        <f>K53+E54</f>
      </c>
    </row>
    <row r="55" spans="1:11" x14ac:dyDescent="0.25">
      <c r="A55" s="8">
        <f>54</f>
      </c>
      <c r="B55" s="8">
        <f>currentAge+54-1</f>
      </c>
      <c r="C55" s="9">
        <f>G54</f>
      </c>
      <c r="D55" s="9">
        <f>IF((currentAge+54-1) &lt; fireAge, monthlySavings*12*(1+savingsDynamic/100)^(54-1), 0)</f>
      </c>
      <c r="E55" s="9">
        <f>IF((currentAge+54-1) &lt; fireAge, C55*expReturn/100 + D55*expReturn/200, 0)</f>
      </c>
      <c r="F55" s="9">
        <f>IF((currentAge+54-1) &lt; fireAge, MAX(0, (MIN(E55, C55*basiszins/100)*(1-partialExemption/100)-saverAllowance)*taxRate/100), 0)</f>
      </c>
      <c r="G55" s="9">
        <f>C55+D55+E55-F55</f>
      </c>
      <c r="H55" s="10">
        <f>(1+inflation/100)^54</f>
      </c>
      <c r="I55" s="9">
        <f>G55/H55</f>
      </c>
      <c r="J55" s="9">
        <f>J54+D55</f>
      </c>
      <c r="K55" s="9">
        <f>K54+E55</f>
      </c>
    </row>
    <row r="56" spans="1:11" x14ac:dyDescent="0.25">
      <c r="A56" s="8">
        <f>55</f>
      </c>
      <c r="B56" s="8">
        <f>currentAge+55-1</f>
      </c>
      <c r="C56" s="9">
        <f>G55</f>
      </c>
      <c r="D56" s="9">
        <f>IF((currentAge+55-1) &lt; fireAge, monthlySavings*12*(1+savingsDynamic/100)^(55-1), 0)</f>
      </c>
      <c r="E56" s="9">
        <f>IF((currentAge+55-1) &lt; fireAge, C56*expReturn/100 + D56*expReturn/200, 0)</f>
      </c>
      <c r="F56" s="9">
        <f>IF((currentAge+55-1) &lt; fireAge, MAX(0, (MIN(E56, C56*basiszins/100)*(1-partialExemption/100)-saverAllowance)*taxRate/100), 0)</f>
      </c>
      <c r="G56" s="9">
        <f>C56+D56+E56-F56</f>
      </c>
      <c r="H56" s="10">
        <f>(1+inflation/100)^55</f>
      </c>
      <c r="I56" s="9">
        <f>G56/H56</f>
      </c>
      <c r="J56" s="9">
        <f>J55+D56</f>
      </c>
      <c r="K56" s="9">
        <f>K55+E56</f>
      </c>
    </row>
    <row r="57" spans="1:11" x14ac:dyDescent="0.25">
      <c r="A57" s="8">
        <f>56</f>
      </c>
      <c r="B57" s="8">
        <f>currentAge+56-1</f>
      </c>
      <c r="C57" s="9">
        <f>G56</f>
      </c>
      <c r="D57" s="9">
        <f>IF((currentAge+56-1) &lt; fireAge, monthlySavings*12*(1+savingsDynamic/100)^(56-1), 0)</f>
      </c>
      <c r="E57" s="9">
        <f>IF((currentAge+56-1) &lt; fireAge, C57*expReturn/100 + D57*expReturn/200, 0)</f>
      </c>
      <c r="F57" s="9">
        <f>IF((currentAge+56-1) &lt; fireAge, MAX(0, (MIN(E57, C57*basiszins/100)*(1-partialExemption/100)-saverAllowance)*taxRate/100), 0)</f>
      </c>
      <c r="G57" s="9">
        <f>C57+D57+E57-F57</f>
      </c>
      <c r="H57" s="10">
        <f>(1+inflation/100)^56</f>
      </c>
      <c r="I57" s="9">
        <f>G57/H57</f>
      </c>
      <c r="J57" s="9">
        <f>J56+D57</f>
      </c>
      <c r="K57" s="9">
        <f>K56+E57</f>
      </c>
    </row>
    <row r="58" spans="1:11" x14ac:dyDescent="0.25">
      <c r="A58" s="8">
        <f>57</f>
      </c>
      <c r="B58" s="8">
        <f>currentAge+57-1</f>
      </c>
      <c r="C58" s="9">
        <f>G57</f>
      </c>
      <c r="D58" s="9">
        <f>IF((currentAge+57-1) &lt; fireAge, monthlySavings*12*(1+savingsDynamic/100)^(57-1), 0)</f>
      </c>
      <c r="E58" s="9">
        <f>IF((currentAge+57-1) &lt; fireAge, C58*expReturn/100 + D58*expReturn/200, 0)</f>
      </c>
      <c r="F58" s="9">
        <f>IF((currentAge+57-1) &lt; fireAge, MAX(0, (MIN(E58, C58*basiszins/100)*(1-partialExemption/100)-saverAllowance)*taxRate/100), 0)</f>
      </c>
      <c r="G58" s="9">
        <f>C58+D58+E58-F58</f>
      </c>
      <c r="H58" s="10">
        <f>(1+inflation/100)^57</f>
      </c>
      <c r="I58" s="9">
        <f>G58/H58</f>
      </c>
      <c r="J58" s="9">
        <f>J57+D58</f>
      </c>
      <c r="K58" s="9">
        <f>K57+E58</f>
      </c>
    </row>
    <row r="59" spans="1:11" x14ac:dyDescent="0.25">
      <c r="A59" s="8">
        <f>58</f>
      </c>
      <c r="B59" s="8">
        <f>currentAge+58-1</f>
      </c>
      <c r="C59" s="9">
        <f>G58</f>
      </c>
      <c r="D59" s="9">
        <f>IF((currentAge+58-1) &lt; fireAge, monthlySavings*12*(1+savingsDynamic/100)^(58-1), 0)</f>
      </c>
      <c r="E59" s="9">
        <f>IF((currentAge+58-1) &lt; fireAge, C59*expReturn/100 + D59*expReturn/200, 0)</f>
      </c>
      <c r="F59" s="9">
        <f>IF((currentAge+58-1) &lt; fireAge, MAX(0, (MIN(E59, C59*basiszins/100)*(1-partialExemption/100)-saverAllowance)*taxRate/100), 0)</f>
      </c>
      <c r="G59" s="9">
        <f>C59+D59+E59-F59</f>
      </c>
      <c r="H59" s="10">
        <f>(1+inflation/100)^58</f>
      </c>
      <c r="I59" s="9">
        <f>G59/H59</f>
      </c>
      <c r="J59" s="9">
        <f>J58+D59</f>
      </c>
      <c r="K59" s="9">
        <f>K58+E59</f>
      </c>
    </row>
    <row r="60" spans="1:11" x14ac:dyDescent="0.25">
      <c r="A60" s="8">
        <f>59</f>
      </c>
      <c r="B60" s="8">
        <f>currentAge+59-1</f>
      </c>
      <c r="C60" s="9">
        <f>G59</f>
      </c>
      <c r="D60" s="9">
        <f>IF((currentAge+59-1) &lt; fireAge, monthlySavings*12*(1+savingsDynamic/100)^(59-1), 0)</f>
      </c>
      <c r="E60" s="9">
        <f>IF((currentAge+59-1) &lt; fireAge, C60*expReturn/100 + D60*expReturn/200, 0)</f>
      </c>
      <c r="F60" s="9">
        <f>IF((currentAge+59-1) &lt; fireAge, MAX(0, (MIN(E60, C60*basiszins/100)*(1-partialExemption/100)-saverAllowance)*taxRate/100), 0)</f>
      </c>
      <c r="G60" s="9">
        <f>C60+D60+E60-F60</f>
      </c>
      <c r="H60" s="10">
        <f>(1+inflation/100)^59</f>
      </c>
      <c r="I60" s="9">
        <f>G60/H60</f>
      </c>
      <c r="J60" s="9">
        <f>J59+D60</f>
      </c>
      <c r="K60" s="9">
        <f>K59+E60</f>
      </c>
    </row>
    <row r="61" spans="1:11" x14ac:dyDescent="0.25">
      <c r="A61" s="8">
        <f>60</f>
      </c>
      <c r="B61" s="8">
        <f>currentAge+60-1</f>
      </c>
      <c r="C61" s="9">
        <f>G60</f>
      </c>
      <c r="D61" s="9">
        <f>IF((currentAge+60-1) &lt; fireAge, monthlySavings*12*(1+savingsDynamic/100)^(60-1), 0)</f>
      </c>
      <c r="E61" s="9">
        <f>IF((currentAge+60-1) &lt; fireAge, C61*expReturn/100 + D61*expReturn/200, 0)</f>
      </c>
      <c r="F61" s="9">
        <f>IF((currentAge+60-1) &lt; fireAge, MAX(0, (MIN(E61, C61*basiszins/100)*(1-partialExemption/100)-saverAllowance)*taxRate/100), 0)</f>
      </c>
      <c r="G61" s="9">
        <f>C61+D61+E61-F61</f>
      </c>
      <c r="H61" s="10">
        <f>(1+inflation/100)^60</f>
      </c>
      <c r="I61" s="9">
        <f>G61/H61</f>
      </c>
      <c r="J61" s="9">
        <f>J60+D61</f>
      </c>
      <c r="K61" s="9">
        <f>K60+E61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46" customWidth="1"/>
    <col min="2" max="2" width="20" customWidth="1"/>
    <col min="3" max="3" width="60" customWidth="1"/>
  </cols>
  <sheetData>
    <row r="1" spans="1:1" x14ac:dyDescent="0.25">
      <c r="A1" s="11" t="s">
        <v>68</v>
      </c>
    </row>
    <row r="2" spans="1:3" x14ac:dyDescent="0.25">
      <c r="A2" t="s">
        <v>69</v>
      </c>
      <c r="B2" s="9">
        <f>(desiredIncome+healthMonthly)*12</f>
      </c>
      <c r="C2" s="5" t="s">
        <v>70</v>
      </c>
    </row>
    <row r="3" spans="1:3" x14ac:dyDescent="0.25">
      <c r="A3" t="s">
        <v>71</v>
      </c>
      <c r="B3" s="9">
        <f>statePension*12</f>
      </c>
      <c r="C3" s="5" t="s">
        <v>72</v>
      </c>
    </row>
    <row r="4" spans="1:3" x14ac:dyDescent="0.25">
      <c r="A4" t="s">
        <v>73</v>
      </c>
      <c r="B4" s="9">
        <f>MAX(0, B2 - B3)</f>
      </c>
      <c r="C4" s="5" t="s">
        <v>74</v>
      </c>
    </row>
    <row r="5" spans="1:3" x14ac:dyDescent="0.25">
      <c r="A5" t="s">
        <v>75</v>
      </c>
      <c r="B5" s="9">
        <f>B2/(swr/100)</f>
      </c>
      <c r="C5" s="5" t="s">
        <v>76</v>
      </c>
    </row>
    <row r="6" spans="1:3" x14ac:dyDescent="0.25">
      <c r="A6" t="s">
        <v>77</v>
      </c>
      <c r="B6" s="9">
        <f>B4/(swr/100)</f>
      </c>
      <c r="C6" s="5" t="s">
        <v>78</v>
      </c>
    </row>
    <row r="7" spans="1:3" x14ac:dyDescent="0.25">
      <c r="A7" t="s">
        <v>79</v>
      </c>
      <c r="B7" s="8">
        <f>MAX(0, pensionAge-fireAge)</f>
      </c>
      <c r="C7" s="5" t="s">
        <v>80</v>
      </c>
    </row>
    <row r="8" spans="1:3" x14ac:dyDescent="0.25">
      <c r="A8" t="s">
        <v>81</v>
      </c>
      <c r="B8" s="9">
        <f>B3*B7</f>
      </c>
      <c r="C8" s="5" t="s">
        <v>82</v>
      </c>
    </row>
    <row r="9" spans="1:3" x14ac:dyDescent="0.25">
      <c r="A9" t="s">
        <v>83</v>
      </c>
      <c r="B9" s="9">
        <f>B6+B8</f>
      </c>
      <c r="C9" s="5" t="s">
        <v>84</v>
      </c>
    </row>
    <row r="10" spans="1:3" x14ac:dyDescent="0.25">
      <c r="A10" t="s">
        <v>85</v>
      </c>
      <c r="B10" s="9">
        <f>IFERROR(INDEX(Accumulation!$I:$I, MATCH(fireAge, Accumulation!$B:$B, 0)), 0)</f>
      </c>
      <c r="C10" s="5" t="s">
        <v>86</v>
      </c>
    </row>
    <row r="11" spans="1:3" x14ac:dyDescent="0.25">
      <c r="A11" t="s">
        <v>87</v>
      </c>
      <c r="B11" s="9">
        <f>B10-B9</f>
      </c>
      <c r="C11" s="5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FormatPr defaultRowHeight="15" outlineLevelRow="0" outlineLevelCol="0" x14ac:dyDescent="55"/>
  <cols>
    <col min="1" max="1" width="8" customWidth="1"/>
    <col min="2" max="8" width="22" customWidth="1"/>
  </cols>
  <sheetData>
    <row r="1" spans="1:8" x14ac:dyDescent="0.25">
      <c r="A1" s="3" t="s">
        <v>57</v>
      </c>
      <c r="B1" s="3" t="s">
        <v>58</v>
      </c>
      <c r="C1" s="3" t="s">
        <v>59</v>
      </c>
      <c r="D1" s="3" t="s">
        <v>89</v>
      </c>
      <c r="E1" s="3" t="s">
        <v>90</v>
      </c>
      <c r="F1" s="3" t="s">
        <v>61</v>
      </c>
      <c r="G1" s="3" t="s">
        <v>63</v>
      </c>
      <c r="H1" s="3" t="s">
        <v>65</v>
      </c>
    </row>
    <row r="2" spans="1:8" x14ac:dyDescent="0.25">
      <c r="A2" s="8">
        <f>1</f>
      </c>
      <c r="B2" s="8">
        <f>fireAge+1-1</f>
      </c>
      <c r="C2" s="9">
        <f>'FIRE number'!B9</f>
      </c>
      <c r="D2" s="9">
        <f>IF((fireAge+1-1) &lt;= endAge, MAX(0, (desiredIncome+healthMonthly)*12*(1+inflation/100)^((fireAge-currentAge)+1-1) - IF((fireAge+1-1)&gt;=pensionAge, statePension*12*(1+inflation/100)^((fireAge-currentAge)+1-1), 0)), 0)</f>
      </c>
      <c r="E2" s="9">
        <f>D2*(1+withdrawalTaxDrag/100)</f>
      </c>
      <c r="F2" s="9">
        <f>IF((fireAge+1-1) &lt;= endAge, MAX(0, C2-E2)*(expReturn-drawReturnDed)/100, 0)</f>
      </c>
      <c r="G2" s="9">
        <f>IF((fireAge+1-1) &lt;= endAge, MAX(0, C2-E2+F2), "")</f>
      </c>
      <c r="H2" s="9">
        <f>IF((fireAge+1-1) &lt;= endAge, G2/(1+inflation/100)^((fireAge-currentAge)+1-1+1), "")</f>
      </c>
    </row>
    <row r="3" spans="1:8" x14ac:dyDescent="0.25">
      <c r="A3" s="8">
        <f>2</f>
      </c>
      <c r="B3" s="8">
        <f>fireAge+2-1</f>
      </c>
      <c r="C3" s="9">
        <f>MAX(0, G2)</f>
      </c>
      <c r="D3" s="9">
        <f>IF((fireAge+2-1) &lt;= endAge, MAX(0, (desiredIncome+healthMonthly)*12*(1+inflation/100)^((fireAge-currentAge)+2-1) - IF((fireAge+2-1)&gt;=pensionAge, statePension*12*(1+inflation/100)^((fireAge-currentAge)+2-1), 0)), 0)</f>
      </c>
      <c r="E3" s="9">
        <f>D3*(1+withdrawalTaxDrag/100)</f>
      </c>
      <c r="F3" s="9">
        <f>IF((fireAge+2-1) &lt;= endAge, MAX(0, C3-E3)*(expReturn-drawReturnDed)/100, 0)</f>
      </c>
      <c r="G3" s="9">
        <f>IF((fireAge+2-1) &lt;= endAge, MAX(0, C3-E3+F3), "")</f>
      </c>
      <c r="H3" s="9">
        <f>IF((fireAge+2-1) &lt;= endAge, G3/(1+inflation/100)^((fireAge-currentAge)+2-1+1), "")</f>
      </c>
    </row>
    <row r="4" spans="1:8" x14ac:dyDescent="0.25">
      <c r="A4" s="8">
        <f>3</f>
      </c>
      <c r="B4" s="8">
        <f>fireAge+3-1</f>
      </c>
      <c r="C4" s="9">
        <f>MAX(0, G3)</f>
      </c>
      <c r="D4" s="9">
        <f>IF((fireAge+3-1) &lt;= endAge, MAX(0, (desiredIncome+healthMonthly)*12*(1+inflation/100)^((fireAge-currentAge)+3-1) - IF((fireAge+3-1)&gt;=pensionAge, statePension*12*(1+inflation/100)^((fireAge-currentAge)+3-1), 0)), 0)</f>
      </c>
      <c r="E4" s="9">
        <f>D4*(1+withdrawalTaxDrag/100)</f>
      </c>
      <c r="F4" s="9">
        <f>IF((fireAge+3-1) &lt;= endAge, MAX(0, C4-E4)*(expReturn-drawReturnDed)/100, 0)</f>
      </c>
      <c r="G4" s="9">
        <f>IF((fireAge+3-1) &lt;= endAge, MAX(0, C4-E4+F4), "")</f>
      </c>
      <c r="H4" s="9">
        <f>IF((fireAge+3-1) &lt;= endAge, G4/(1+inflation/100)^((fireAge-currentAge)+3-1+1), "")</f>
      </c>
    </row>
    <row r="5" spans="1:8" x14ac:dyDescent="0.25">
      <c r="A5" s="8">
        <f>4</f>
      </c>
      <c r="B5" s="8">
        <f>fireAge+4-1</f>
      </c>
      <c r="C5" s="9">
        <f>MAX(0, G4)</f>
      </c>
      <c r="D5" s="9">
        <f>IF((fireAge+4-1) &lt;= endAge, MAX(0, (desiredIncome+healthMonthly)*12*(1+inflation/100)^((fireAge-currentAge)+4-1) - IF((fireAge+4-1)&gt;=pensionAge, statePension*12*(1+inflation/100)^((fireAge-currentAge)+4-1), 0)), 0)</f>
      </c>
      <c r="E5" s="9">
        <f>D5*(1+withdrawalTaxDrag/100)</f>
      </c>
      <c r="F5" s="9">
        <f>IF((fireAge+4-1) &lt;= endAge, MAX(0, C5-E5)*(expReturn-drawReturnDed)/100, 0)</f>
      </c>
      <c r="G5" s="9">
        <f>IF((fireAge+4-1) &lt;= endAge, MAX(0, C5-E5+F5), "")</f>
      </c>
      <c r="H5" s="9">
        <f>IF((fireAge+4-1) &lt;= endAge, G5/(1+inflation/100)^((fireAge-currentAge)+4-1+1), "")</f>
      </c>
    </row>
    <row r="6" spans="1:8" x14ac:dyDescent="0.25">
      <c r="A6" s="8">
        <f>5</f>
      </c>
      <c r="B6" s="8">
        <f>fireAge+5-1</f>
      </c>
      <c r="C6" s="9">
        <f>MAX(0, G5)</f>
      </c>
      <c r="D6" s="9">
        <f>IF((fireAge+5-1) &lt;= endAge, MAX(0, (desiredIncome+healthMonthly)*12*(1+inflation/100)^((fireAge-currentAge)+5-1) - IF((fireAge+5-1)&gt;=pensionAge, statePension*12*(1+inflation/100)^((fireAge-currentAge)+5-1), 0)), 0)</f>
      </c>
      <c r="E6" s="9">
        <f>D6*(1+withdrawalTaxDrag/100)</f>
      </c>
      <c r="F6" s="9">
        <f>IF((fireAge+5-1) &lt;= endAge, MAX(0, C6-E6)*(expReturn-drawReturnDed)/100, 0)</f>
      </c>
      <c r="G6" s="9">
        <f>IF((fireAge+5-1) &lt;= endAge, MAX(0, C6-E6+F6), "")</f>
      </c>
      <c r="H6" s="9">
        <f>IF((fireAge+5-1) &lt;= endAge, G6/(1+inflation/100)^((fireAge-currentAge)+5-1+1), "")</f>
      </c>
    </row>
    <row r="7" spans="1:8" x14ac:dyDescent="0.25">
      <c r="A7" s="8">
        <f>6</f>
      </c>
      <c r="B7" s="8">
        <f>fireAge+6-1</f>
      </c>
      <c r="C7" s="9">
        <f>MAX(0, G6)</f>
      </c>
      <c r="D7" s="9">
        <f>IF((fireAge+6-1) &lt;= endAge, MAX(0, (desiredIncome+healthMonthly)*12*(1+inflation/100)^((fireAge-currentAge)+6-1) - IF((fireAge+6-1)&gt;=pensionAge, statePension*12*(1+inflation/100)^((fireAge-currentAge)+6-1), 0)), 0)</f>
      </c>
      <c r="E7" s="9">
        <f>D7*(1+withdrawalTaxDrag/100)</f>
      </c>
      <c r="F7" s="9">
        <f>IF((fireAge+6-1) &lt;= endAge, MAX(0, C7-E7)*(expReturn-drawReturnDed)/100, 0)</f>
      </c>
      <c r="G7" s="9">
        <f>IF((fireAge+6-1) &lt;= endAge, MAX(0, C7-E7+F7), "")</f>
      </c>
      <c r="H7" s="9">
        <f>IF((fireAge+6-1) &lt;= endAge, G7/(1+inflation/100)^((fireAge-currentAge)+6-1+1), "")</f>
      </c>
    </row>
    <row r="8" spans="1:8" x14ac:dyDescent="0.25">
      <c r="A8" s="8">
        <f>7</f>
      </c>
      <c r="B8" s="8">
        <f>fireAge+7-1</f>
      </c>
      <c r="C8" s="9">
        <f>MAX(0, G7)</f>
      </c>
      <c r="D8" s="9">
        <f>IF((fireAge+7-1) &lt;= endAge, MAX(0, (desiredIncome+healthMonthly)*12*(1+inflation/100)^((fireAge-currentAge)+7-1) - IF((fireAge+7-1)&gt;=pensionAge, statePension*12*(1+inflation/100)^((fireAge-currentAge)+7-1), 0)), 0)</f>
      </c>
      <c r="E8" s="9">
        <f>D8*(1+withdrawalTaxDrag/100)</f>
      </c>
      <c r="F8" s="9">
        <f>IF((fireAge+7-1) &lt;= endAge, MAX(0, C8-E8)*(expReturn-drawReturnDed)/100, 0)</f>
      </c>
      <c r="G8" s="9">
        <f>IF((fireAge+7-1) &lt;= endAge, MAX(0, C8-E8+F8), "")</f>
      </c>
      <c r="H8" s="9">
        <f>IF((fireAge+7-1) &lt;= endAge, G8/(1+inflation/100)^((fireAge-currentAge)+7-1+1), "")</f>
      </c>
    </row>
    <row r="9" spans="1:8" x14ac:dyDescent="0.25">
      <c r="A9" s="8">
        <f>8</f>
      </c>
      <c r="B9" s="8">
        <f>fireAge+8-1</f>
      </c>
      <c r="C9" s="9">
        <f>MAX(0, G8)</f>
      </c>
      <c r="D9" s="9">
        <f>IF((fireAge+8-1) &lt;= endAge, MAX(0, (desiredIncome+healthMonthly)*12*(1+inflation/100)^((fireAge-currentAge)+8-1) - IF((fireAge+8-1)&gt;=pensionAge, statePension*12*(1+inflation/100)^((fireAge-currentAge)+8-1), 0)), 0)</f>
      </c>
      <c r="E9" s="9">
        <f>D9*(1+withdrawalTaxDrag/100)</f>
      </c>
      <c r="F9" s="9">
        <f>IF((fireAge+8-1) &lt;= endAge, MAX(0, C9-E9)*(expReturn-drawReturnDed)/100, 0)</f>
      </c>
      <c r="G9" s="9">
        <f>IF((fireAge+8-1) &lt;= endAge, MAX(0, C9-E9+F9), "")</f>
      </c>
      <c r="H9" s="9">
        <f>IF((fireAge+8-1) &lt;= endAge, G9/(1+inflation/100)^((fireAge-currentAge)+8-1+1), "")</f>
      </c>
    </row>
    <row r="10" spans="1:8" x14ac:dyDescent="0.25">
      <c r="A10" s="8">
        <f>9</f>
      </c>
      <c r="B10" s="8">
        <f>fireAge+9-1</f>
      </c>
      <c r="C10" s="9">
        <f>MAX(0, G9)</f>
      </c>
      <c r="D10" s="9">
        <f>IF((fireAge+9-1) &lt;= endAge, MAX(0, (desiredIncome+healthMonthly)*12*(1+inflation/100)^((fireAge-currentAge)+9-1) - IF((fireAge+9-1)&gt;=pensionAge, statePension*12*(1+inflation/100)^((fireAge-currentAge)+9-1), 0)), 0)</f>
      </c>
      <c r="E10" s="9">
        <f>D10*(1+withdrawalTaxDrag/100)</f>
      </c>
      <c r="F10" s="9">
        <f>IF((fireAge+9-1) &lt;= endAge, MAX(0, C10-E10)*(expReturn-drawReturnDed)/100, 0)</f>
      </c>
      <c r="G10" s="9">
        <f>IF((fireAge+9-1) &lt;= endAge, MAX(0, C10-E10+F10), "")</f>
      </c>
      <c r="H10" s="9">
        <f>IF((fireAge+9-1) &lt;= endAge, G10/(1+inflation/100)^((fireAge-currentAge)+9-1+1), "")</f>
      </c>
    </row>
    <row r="11" spans="1:8" x14ac:dyDescent="0.25">
      <c r="A11" s="8">
        <f>10</f>
      </c>
      <c r="B11" s="8">
        <f>fireAge+10-1</f>
      </c>
      <c r="C11" s="9">
        <f>MAX(0, G10)</f>
      </c>
      <c r="D11" s="9">
        <f>IF((fireAge+10-1) &lt;= endAge, MAX(0, (desiredIncome+healthMonthly)*12*(1+inflation/100)^((fireAge-currentAge)+10-1) - IF((fireAge+10-1)&gt;=pensionAge, statePension*12*(1+inflation/100)^((fireAge-currentAge)+10-1), 0)), 0)</f>
      </c>
      <c r="E11" s="9">
        <f>D11*(1+withdrawalTaxDrag/100)</f>
      </c>
      <c r="F11" s="9">
        <f>IF((fireAge+10-1) &lt;= endAge, MAX(0, C11-E11)*(expReturn-drawReturnDed)/100, 0)</f>
      </c>
      <c r="G11" s="9">
        <f>IF((fireAge+10-1) &lt;= endAge, MAX(0, C11-E11+F11), "")</f>
      </c>
      <c r="H11" s="9">
        <f>IF((fireAge+10-1) &lt;= endAge, G11/(1+inflation/100)^((fireAge-currentAge)+10-1+1), "")</f>
      </c>
    </row>
    <row r="12" spans="1:8" x14ac:dyDescent="0.25">
      <c r="A12" s="8">
        <f>11</f>
      </c>
      <c r="B12" s="8">
        <f>fireAge+11-1</f>
      </c>
      <c r="C12" s="9">
        <f>MAX(0, G11)</f>
      </c>
      <c r="D12" s="9">
        <f>IF((fireAge+11-1) &lt;= endAge, MAX(0, (desiredIncome+healthMonthly)*12*(1+inflation/100)^((fireAge-currentAge)+11-1) - IF((fireAge+11-1)&gt;=pensionAge, statePension*12*(1+inflation/100)^((fireAge-currentAge)+11-1), 0)), 0)</f>
      </c>
      <c r="E12" s="9">
        <f>D12*(1+withdrawalTaxDrag/100)</f>
      </c>
      <c r="F12" s="9">
        <f>IF((fireAge+11-1) &lt;= endAge, MAX(0, C12-E12)*(expReturn-drawReturnDed)/100, 0)</f>
      </c>
      <c r="G12" s="9">
        <f>IF((fireAge+11-1) &lt;= endAge, MAX(0, C12-E12+F12), "")</f>
      </c>
      <c r="H12" s="9">
        <f>IF((fireAge+11-1) &lt;= endAge, G12/(1+inflation/100)^((fireAge-currentAge)+11-1+1), "")</f>
      </c>
    </row>
    <row r="13" spans="1:8" x14ac:dyDescent="0.25">
      <c r="A13" s="8">
        <f>12</f>
      </c>
      <c r="B13" s="8">
        <f>fireAge+12-1</f>
      </c>
      <c r="C13" s="9">
        <f>MAX(0, G12)</f>
      </c>
      <c r="D13" s="9">
        <f>IF((fireAge+12-1) &lt;= endAge, MAX(0, (desiredIncome+healthMonthly)*12*(1+inflation/100)^((fireAge-currentAge)+12-1) - IF((fireAge+12-1)&gt;=pensionAge, statePension*12*(1+inflation/100)^((fireAge-currentAge)+12-1), 0)), 0)</f>
      </c>
      <c r="E13" s="9">
        <f>D13*(1+withdrawalTaxDrag/100)</f>
      </c>
      <c r="F13" s="9">
        <f>IF((fireAge+12-1) &lt;= endAge, MAX(0, C13-E13)*(expReturn-drawReturnDed)/100, 0)</f>
      </c>
      <c r="G13" s="9">
        <f>IF((fireAge+12-1) &lt;= endAge, MAX(0, C13-E13+F13), "")</f>
      </c>
      <c r="H13" s="9">
        <f>IF((fireAge+12-1) &lt;= endAge, G13/(1+inflation/100)^((fireAge-currentAge)+12-1+1), "")</f>
      </c>
    </row>
    <row r="14" spans="1:8" x14ac:dyDescent="0.25">
      <c r="A14" s="8">
        <f>13</f>
      </c>
      <c r="B14" s="8">
        <f>fireAge+13-1</f>
      </c>
      <c r="C14" s="9">
        <f>MAX(0, G13)</f>
      </c>
      <c r="D14" s="9">
        <f>IF((fireAge+13-1) &lt;= endAge, MAX(0, (desiredIncome+healthMonthly)*12*(1+inflation/100)^((fireAge-currentAge)+13-1) - IF((fireAge+13-1)&gt;=pensionAge, statePension*12*(1+inflation/100)^((fireAge-currentAge)+13-1), 0)), 0)</f>
      </c>
      <c r="E14" s="9">
        <f>D14*(1+withdrawalTaxDrag/100)</f>
      </c>
      <c r="F14" s="9">
        <f>IF((fireAge+13-1) &lt;= endAge, MAX(0, C14-E14)*(expReturn-drawReturnDed)/100, 0)</f>
      </c>
      <c r="G14" s="9">
        <f>IF((fireAge+13-1) &lt;= endAge, MAX(0, C14-E14+F14), "")</f>
      </c>
      <c r="H14" s="9">
        <f>IF((fireAge+13-1) &lt;= endAge, G14/(1+inflation/100)^((fireAge-currentAge)+13-1+1), "")</f>
      </c>
    </row>
    <row r="15" spans="1:8" x14ac:dyDescent="0.25">
      <c r="A15" s="8">
        <f>14</f>
      </c>
      <c r="B15" s="8">
        <f>fireAge+14-1</f>
      </c>
      <c r="C15" s="9">
        <f>MAX(0, G14)</f>
      </c>
      <c r="D15" s="9">
        <f>IF((fireAge+14-1) &lt;= endAge, MAX(0, (desiredIncome+healthMonthly)*12*(1+inflation/100)^((fireAge-currentAge)+14-1) - IF((fireAge+14-1)&gt;=pensionAge, statePension*12*(1+inflation/100)^((fireAge-currentAge)+14-1), 0)), 0)</f>
      </c>
      <c r="E15" s="9">
        <f>D15*(1+withdrawalTaxDrag/100)</f>
      </c>
      <c r="F15" s="9">
        <f>IF((fireAge+14-1) &lt;= endAge, MAX(0, C15-E15)*(expReturn-drawReturnDed)/100, 0)</f>
      </c>
      <c r="G15" s="9">
        <f>IF((fireAge+14-1) &lt;= endAge, MAX(0, C15-E15+F15), "")</f>
      </c>
      <c r="H15" s="9">
        <f>IF((fireAge+14-1) &lt;= endAge, G15/(1+inflation/100)^((fireAge-currentAge)+14-1+1), "")</f>
      </c>
    </row>
    <row r="16" spans="1:8" x14ac:dyDescent="0.25">
      <c r="A16" s="8">
        <f>15</f>
      </c>
      <c r="B16" s="8">
        <f>fireAge+15-1</f>
      </c>
      <c r="C16" s="9">
        <f>MAX(0, G15)</f>
      </c>
      <c r="D16" s="9">
        <f>IF((fireAge+15-1) &lt;= endAge, MAX(0, (desiredIncome+healthMonthly)*12*(1+inflation/100)^((fireAge-currentAge)+15-1) - IF((fireAge+15-1)&gt;=pensionAge, statePension*12*(1+inflation/100)^((fireAge-currentAge)+15-1), 0)), 0)</f>
      </c>
      <c r="E16" s="9">
        <f>D16*(1+withdrawalTaxDrag/100)</f>
      </c>
      <c r="F16" s="9">
        <f>IF((fireAge+15-1) &lt;= endAge, MAX(0, C16-E16)*(expReturn-drawReturnDed)/100, 0)</f>
      </c>
      <c r="G16" s="9">
        <f>IF((fireAge+15-1) &lt;= endAge, MAX(0, C16-E16+F16), "")</f>
      </c>
      <c r="H16" s="9">
        <f>IF((fireAge+15-1) &lt;= endAge, G16/(1+inflation/100)^((fireAge-currentAge)+15-1+1), "")</f>
      </c>
    </row>
    <row r="17" spans="1:8" x14ac:dyDescent="0.25">
      <c r="A17" s="8">
        <f>16</f>
      </c>
      <c r="B17" s="8">
        <f>fireAge+16-1</f>
      </c>
      <c r="C17" s="9">
        <f>MAX(0, G16)</f>
      </c>
      <c r="D17" s="9">
        <f>IF((fireAge+16-1) &lt;= endAge, MAX(0, (desiredIncome+healthMonthly)*12*(1+inflation/100)^((fireAge-currentAge)+16-1) - IF((fireAge+16-1)&gt;=pensionAge, statePension*12*(1+inflation/100)^((fireAge-currentAge)+16-1), 0)), 0)</f>
      </c>
      <c r="E17" s="9">
        <f>D17*(1+withdrawalTaxDrag/100)</f>
      </c>
      <c r="F17" s="9">
        <f>IF((fireAge+16-1) &lt;= endAge, MAX(0, C17-E17)*(expReturn-drawReturnDed)/100, 0)</f>
      </c>
      <c r="G17" s="9">
        <f>IF((fireAge+16-1) &lt;= endAge, MAX(0, C17-E17+F17), "")</f>
      </c>
      <c r="H17" s="9">
        <f>IF((fireAge+16-1) &lt;= endAge, G17/(1+inflation/100)^((fireAge-currentAge)+16-1+1), "")</f>
      </c>
    </row>
    <row r="18" spans="1:8" x14ac:dyDescent="0.25">
      <c r="A18" s="8">
        <f>17</f>
      </c>
      <c r="B18" s="8">
        <f>fireAge+17-1</f>
      </c>
      <c r="C18" s="9">
        <f>MAX(0, G17)</f>
      </c>
      <c r="D18" s="9">
        <f>IF((fireAge+17-1) &lt;= endAge, MAX(0, (desiredIncome+healthMonthly)*12*(1+inflation/100)^((fireAge-currentAge)+17-1) - IF((fireAge+17-1)&gt;=pensionAge, statePension*12*(1+inflation/100)^((fireAge-currentAge)+17-1), 0)), 0)</f>
      </c>
      <c r="E18" s="9">
        <f>D18*(1+withdrawalTaxDrag/100)</f>
      </c>
      <c r="F18" s="9">
        <f>IF((fireAge+17-1) &lt;= endAge, MAX(0, C18-E18)*(expReturn-drawReturnDed)/100, 0)</f>
      </c>
      <c r="G18" s="9">
        <f>IF((fireAge+17-1) &lt;= endAge, MAX(0, C18-E18+F18), "")</f>
      </c>
      <c r="H18" s="9">
        <f>IF((fireAge+17-1) &lt;= endAge, G18/(1+inflation/100)^((fireAge-currentAge)+17-1+1), "")</f>
      </c>
    </row>
    <row r="19" spans="1:8" x14ac:dyDescent="0.25">
      <c r="A19" s="8">
        <f>18</f>
      </c>
      <c r="B19" s="8">
        <f>fireAge+18-1</f>
      </c>
      <c r="C19" s="9">
        <f>MAX(0, G18)</f>
      </c>
      <c r="D19" s="9">
        <f>IF((fireAge+18-1) &lt;= endAge, MAX(0, (desiredIncome+healthMonthly)*12*(1+inflation/100)^((fireAge-currentAge)+18-1) - IF((fireAge+18-1)&gt;=pensionAge, statePension*12*(1+inflation/100)^((fireAge-currentAge)+18-1), 0)), 0)</f>
      </c>
      <c r="E19" s="9">
        <f>D19*(1+withdrawalTaxDrag/100)</f>
      </c>
      <c r="F19" s="9">
        <f>IF((fireAge+18-1) &lt;= endAge, MAX(0, C19-E19)*(expReturn-drawReturnDed)/100, 0)</f>
      </c>
      <c r="G19" s="9">
        <f>IF((fireAge+18-1) &lt;= endAge, MAX(0, C19-E19+F19), "")</f>
      </c>
      <c r="H19" s="9">
        <f>IF((fireAge+18-1) &lt;= endAge, G19/(1+inflation/100)^((fireAge-currentAge)+18-1+1), "")</f>
      </c>
    </row>
    <row r="20" spans="1:8" x14ac:dyDescent="0.25">
      <c r="A20" s="8">
        <f>19</f>
      </c>
      <c r="B20" s="8">
        <f>fireAge+19-1</f>
      </c>
      <c r="C20" s="9">
        <f>MAX(0, G19)</f>
      </c>
      <c r="D20" s="9">
        <f>IF((fireAge+19-1) &lt;= endAge, MAX(0, (desiredIncome+healthMonthly)*12*(1+inflation/100)^((fireAge-currentAge)+19-1) - IF((fireAge+19-1)&gt;=pensionAge, statePension*12*(1+inflation/100)^((fireAge-currentAge)+19-1), 0)), 0)</f>
      </c>
      <c r="E20" s="9">
        <f>D20*(1+withdrawalTaxDrag/100)</f>
      </c>
      <c r="F20" s="9">
        <f>IF((fireAge+19-1) &lt;= endAge, MAX(0, C20-E20)*(expReturn-drawReturnDed)/100, 0)</f>
      </c>
      <c r="G20" s="9">
        <f>IF((fireAge+19-1) &lt;= endAge, MAX(0, C20-E20+F20), "")</f>
      </c>
      <c r="H20" s="9">
        <f>IF((fireAge+19-1) &lt;= endAge, G20/(1+inflation/100)^((fireAge-currentAge)+19-1+1), "")</f>
      </c>
    </row>
    <row r="21" spans="1:8" x14ac:dyDescent="0.25">
      <c r="A21" s="8">
        <f>20</f>
      </c>
      <c r="B21" s="8">
        <f>fireAge+20-1</f>
      </c>
      <c r="C21" s="9">
        <f>MAX(0, G20)</f>
      </c>
      <c r="D21" s="9">
        <f>IF((fireAge+20-1) &lt;= endAge, MAX(0, (desiredIncome+healthMonthly)*12*(1+inflation/100)^((fireAge-currentAge)+20-1) - IF((fireAge+20-1)&gt;=pensionAge, statePension*12*(1+inflation/100)^((fireAge-currentAge)+20-1), 0)), 0)</f>
      </c>
      <c r="E21" s="9">
        <f>D21*(1+withdrawalTaxDrag/100)</f>
      </c>
      <c r="F21" s="9">
        <f>IF((fireAge+20-1) &lt;= endAge, MAX(0, C21-E21)*(expReturn-drawReturnDed)/100, 0)</f>
      </c>
      <c r="G21" s="9">
        <f>IF((fireAge+20-1) &lt;= endAge, MAX(0, C21-E21+F21), "")</f>
      </c>
      <c r="H21" s="9">
        <f>IF((fireAge+20-1) &lt;= endAge, G21/(1+inflation/100)^((fireAge-currentAge)+20-1+1), "")</f>
      </c>
    </row>
    <row r="22" spans="1:8" x14ac:dyDescent="0.25">
      <c r="A22" s="8">
        <f>21</f>
      </c>
      <c r="B22" s="8">
        <f>fireAge+21-1</f>
      </c>
      <c r="C22" s="9">
        <f>MAX(0, G21)</f>
      </c>
      <c r="D22" s="9">
        <f>IF((fireAge+21-1) &lt;= endAge, MAX(0, (desiredIncome+healthMonthly)*12*(1+inflation/100)^((fireAge-currentAge)+21-1) - IF((fireAge+21-1)&gt;=pensionAge, statePension*12*(1+inflation/100)^((fireAge-currentAge)+21-1), 0)), 0)</f>
      </c>
      <c r="E22" s="9">
        <f>D22*(1+withdrawalTaxDrag/100)</f>
      </c>
      <c r="F22" s="9">
        <f>IF((fireAge+21-1) &lt;= endAge, MAX(0, C22-E22)*(expReturn-drawReturnDed)/100, 0)</f>
      </c>
      <c r="G22" s="9">
        <f>IF((fireAge+21-1) &lt;= endAge, MAX(0, C22-E22+F22), "")</f>
      </c>
      <c r="H22" s="9">
        <f>IF((fireAge+21-1) &lt;= endAge, G22/(1+inflation/100)^((fireAge-currentAge)+21-1+1), "")</f>
      </c>
    </row>
    <row r="23" spans="1:8" x14ac:dyDescent="0.25">
      <c r="A23" s="8">
        <f>22</f>
      </c>
      <c r="B23" s="8">
        <f>fireAge+22-1</f>
      </c>
      <c r="C23" s="9">
        <f>MAX(0, G22)</f>
      </c>
      <c r="D23" s="9">
        <f>IF((fireAge+22-1) &lt;= endAge, MAX(0, (desiredIncome+healthMonthly)*12*(1+inflation/100)^((fireAge-currentAge)+22-1) - IF((fireAge+22-1)&gt;=pensionAge, statePension*12*(1+inflation/100)^((fireAge-currentAge)+22-1), 0)), 0)</f>
      </c>
      <c r="E23" s="9">
        <f>D23*(1+withdrawalTaxDrag/100)</f>
      </c>
      <c r="F23" s="9">
        <f>IF((fireAge+22-1) &lt;= endAge, MAX(0, C23-E23)*(expReturn-drawReturnDed)/100, 0)</f>
      </c>
      <c r="G23" s="9">
        <f>IF((fireAge+22-1) &lt;= endAge, MAX(0, C23-E23+F23), "")</f>
      </c>
      <c r="H23" s="9">
        <f>IF((fireAge+22-1) &lt;= endAge, G23/(1+inflation/100)^((fireAge-currentAge)+22-1+1), "")</f>
      </c>
    </row>
    <row r="24" spans="1:8" x14ac:dyDescent="0.25">
      <c r="A24" s="8">
        <f>23</f>
      </c>
      <c r="B24" s="8">
        <f>fireAge+23-1</f>
      </c>
      <c r="C24" s="9">
        <f>MAX(0, G23)</f>
      </c>
      <c r="D24" s="9">
        <f>IF((fireAge+23-1) &lt;= endAge, MAX(0, (desiredIncome+healthMonthly)*12*(1+inflation/100)^((fireAge-currentAge)+23-1) - IF((fireAge+23-1)&gt;=pensionAge, statePension*12*(1+inflation/100)^((fireAge-currentAge)+23-1), 0)), 0)</f>
      </c>
      <c r="E24" s="9">
        <f>D24*(1+withdrawalTaxDrag/100)</f>
      </c>
      <c r="F24" s="9">
        <f>IF((fireAge+23-1) &lt;= endAge, MAX(0, C24-E24)*(expReturn-drawReturnDed)/100, 0)</f>
      </c>
      <c r="G24" s="9">
        <f>IF((fireAge+23-1) &lt;= endAge, MAX(0, C24-E24+F24), "")</f>
      </c>
      <c r="H24" s="9">
        <f>IF((fireAge+23-1) &lt;= endAge, G24/(1+inflation/100)^((fireAge-currentAge)+23-1+1), "")</f>
      </c>
    </row>
    <row r="25" spans="1:8" x14ac:dyDescent="0.25">
      <c r="A25" s="8">
        <f>24</f>
      </c>
      <c r="B25" s="8">
        <f>fireAge+24-1</f>
      </c>
      <c r="C25" s="9">
        <f>MAX(0, G24)</f>
      </c>
      <c r="D25" s="9">
        <f>IF((fireAge+24-1) &lt;= endAge, MAX(0, (desiredIncome+healthMonthly)*12*(1+inflation/100)^((fireAge-currentAge)+24-1) - IF((fireAge+24-1)&gt;=pensionAge, statePension*12*(1+inflation/100)^((fireAge-currentAge)+24-1), 0)), 0)</f>
      </c>
      <c r="E25" s="9">
        <f>D25*(1+withdrawalTaxDrag/100)</f>
      </c>
      <c r="F25" s="9">
        <f>IF((fireAge+24-1) &lt;= endAge, MAX(0, C25-E25)*(expReturn-drawReturnDed)/100, 0)</f>
      </c>
      <c r="G25" s="9">
        <f>IF((fireAge+24-1) &lt;= endAge, MAX(0, C25-E25+F25), "")</f>
      </c>
      <c r="H25" s="9">
        <f>IF((fireAge+24-1) &lt;= endAge, G25/(1+inflation/100)^((fireAge-currentAge)+24-1+1), "")</f>
      </c>
    </row>
    <row r="26" spans="1:8" x14ac:dyDescent="0.25">
      <c r="A26" s="8">
        <f>25</f>
      </c>
      <c r="B26" s="8">
        <f>fireAge+25-1</f>
      </c>
      <c r="C26" s="9">
        <f>MAX(0, G25)</f>
      </c>
      <c r="D26" s="9">
        <f>IF((fireAge+25-1) &lt;= endAge, MAX(0, (desiredIncome+healthMonthly)*12*(1+inflation/100)^((fireAge-currentAge)+25-1) - IF((fireAge+25-1)&gt;=pensionAge, statePension*12*(1+inflation/100)^((fireAge-currentAge)+25-1), 0)), 0)</f>
      </c>
      <c r="E26" s="9">
        <f>D26*(1+withdrawalTaxDrag/100)</f>
      </c>
      <c r="F26" s="9">
        <f>IF((fireAge+25-1) &lt;= endAge, MAX(0, C26-E26)*(expReturn-drawReturnDed)/100, 0)</f>
      </c>
      <c r="G26" s="9">
        <f>IF((fireAge+25-1) &lt;= endAge, MAX(0, C26-E26+F26), "")</f>
      </c>
      <c r="H26" s="9">
        <f>IF((fireAge+25-1) &lt;= endAge, G26/(1+inflation/100)^((fireAge-currentAge)+25-1+1), "")</f>
      </c>
    </row>
    <row r="27" spans="1:8" x14ac:dyDescent="0.25">
      <c r="A27" s="8">
        <f>26</f>
      </c>
      <c r="B27" s="8">
        <f>fireAge+26-1</f>
      </c>
      <c r="C27" s="9">
        <f>MAX(0, G26)</f>
      </c>
      <c r="D27" s="9">
        <f>IF((fireAge+26-1) &lt;= endAge, MAX(0, (desiredIncome+healthMonthly)*12*(1+inflation/100)^((fireAge-currentAge)+26-1) - IF((fireAge+26-1)&gt;=pensionAge, statePension*12*(1+inflation/100)^((fireAge-currentAge)+26-1), 0)), 0)</f>
      </c>
      <c r="E27" s="9">
        <f>D27*(1+withdrawalTaxDrag/100)</f>
      </c>
      <c r="F27" s="9">
        <f>IF((fireAge+26-1) &lt;= endAge, MAX(0, C27-E27)*(expReturn-drawReturnDed)/100, 0)</f>
      </c>
      <c r="G27" s="9">
        <f>IF((fireAge+26-1) &lt;= endAge, MAX(0, C27-E27+F27), "")</f>
      </c>
      <c r="H27" s="9">
        <f>IF((fireAge+26-1) &lt;= endAge, G27/(1+inflation/100)^((fireAge-currentAge)+26-1+1), "")</f>
      </c>
    </row>
    <row r="28" spans="1:8" x14ac:dyDescent="0.25">
      <c r="A28" s="8">
        <f>27</f>
      </c>
      <c r="B28" s="8">
        <f>fireAge+27-1</f>
      </c>
      <c r="C28" s="9">
        <f>MAX(0, G27)</f>
      </c>
      <c r="D28" s="9">
        <f>IF((fireAge+27-1) &lt;= endAge, MAX(0, (desiredIncome+healthMonthly)*12*(1+inflation/100)^((fireAge-currentAge)+27-1) - IF((fireAge+27-1)&gt;=pensionAge, statePension*12*(1+inflation/100)^((fireAge-currentAge)+27-1), 0)), 0)</f>
      </c>
      <c r="E28" s="9">
        <f>D28*(1+withdrawalTaxDrag/100)</f>
      </c>
      <c r="F28" s="9">
        <f>IF((fireAge+27-1) &lt;= endAge, MAX(0, C28-E28)*(expReturn-drawReturnDed)/100, 0)</f>
      </c>
      <c r="G28" s="9">
        <f>IF((fireAge+27-1) &lt;= endAge, MAX(0, C28-E28+F28), "")</f>
      </c>
      <c r="H28" s="9">
        <f>IF((fireAge+27-1) &lt;= endAge, G28/(1+inflation/100)^((fireAge-currentAge)+27-1+1), "")</f>
      </c>
    </row>
    <row r="29" spans="1:8" x14ac:dyDescent="0.25">
      <c r="A29" s="8">
        <f>28</f>
      </c>
      <c r="B29" s="8">
        <f>fireAge+28-1</f>
      </c>
      <c r="C29" s="9">
        <f>MAX(0, G28)</f>
      </c>
      <c r="D29" s="9">
        <f>IF((fireAge+28-1) &lt;= endAge, MAX(0, (desiredIncome+healthMonthly)*12*(1+inflation/100)^((fireAge-currentAge)+28-1) - IF((fireAge+28-1)&gt;=pensionAge, statePension*12*(1+inflation/100)^((fireAge-currentAge)+28-1), 0)), 0)</f>
      </c>
      <c r="E29" s="9">
        <f>D29*(1+withdrawalTaxDrag/100)</f>
      </c>
      <c r="F29" s="9">
        <f>IF((fireAge+28-1) &lt;= endAge, MAX(0, C29-E29)*(expReturn-drawReturnDed)/100, 0)</f>
      </c>
      <c r="G29" s="9">
        <f>IF((fireAge+28-1) &lt;= endAge, MAX(0, C29-E29+F29), "")</f>
      </c>
      <c r="H29" s="9">
        <f>IF((fireAge+28-1) &lt;= endAge, G29/(1+inflation/100)^((fireAge-currentAge)+28-1+1), "")</f>
      </c>
    </row>
    <row r="30" spans="1:8" x14ac:dyDescent="0.25">
      <c r="A30" s="8">
        <f>29</f>
      </c>
      <c r="B30" s="8">
        <f>fireAge+29-1</f>
      </c>
      <c r="C30" s="9">
        <f>MAX(0, G29)</f>
      </c>
      <c r="D30" s="9">
        <f>IF((fireAge+29-1) &lt;= endAge, MAX(0, (desiredIncome+healthMonthly)*12*(1+inflation/100)^((fireAge-currentAge)+29-1) - IF((fireAge+29-1)&gt;=pensionAge, statePension*12*(1+inflation/100)^((fireAge-currentAge)+29-1), 0)), 0)</f>
      </c>
      <c r="E30" s="9">
        <f>D30*(1+withdrawalTaxDrag/100)</f>
      </c>
      <c r="F30" s="9">
        <f>IF((fireAge+29-1) &lt;= endAge, MAX(0, C30-E30)*(expReturn-drawReturnDed)/100, 0)</f>
      </c>
      <c r="G30" s="9">
        <f>IF((fireAge+29-1) &lt;= endAge, MAX(0, C30-E30+F30), "")</f>
      </c>
      <c r="H30" s="9">
        <f>IF((fireAge+29-1) &lt;= endAge, G30/(1+inflation/100)^((fireAge-currentAge)+29-1+1), "")</f>
      </c>
    </row>
    <row r="31" spans="1:8" x14ac:dyDescent="0.25">
      <c r="A31" s="8">
        <f>30</f>
      </c>
      <c r="B31" s="8">
        <f>fireAge+30-1</f>
      </c>
      <c r="C31" s="9">
        <f>MAX(0, G30)</f>
      </c>
      <c r="D31" s="9">
        <f>IF((fireAge+30-1) &lt;= endAge, MAX(0, (desiredIncome+healthMonthly)*12*(1+inflation/100)^((fireAge-currentAge)+30-1) - IF((fireAge+30-1)&gt;=pensionAge, statePension*12*(1+inflation/100)^((fireAge-currentAge)+30-1), 0)), 0)</f>
      </c>
      <c r="E31" s="9">
        <f>D31*(1+withdrawalTaxDrag/100)</f>
      </c>
      <c r="F31" s="9">
        <f>IF((fireAge+30-1) &lt;= endAge, MAX(0, C31-E31)*(expReturn-drawReturnDed)/100, 0)</f>
      </c>
      <c r="G31" s="9">
        <f>IF((fireAge+30-1) &lt;= endAge, MAX(0, C31-E31+F31), "")</f>
      </c>
      <c r="H31" s="9">
        <f>IF((fireAge+30-1) &lt;= endAge, G31/(1+inflation/100)^((fireAge-currentAge)+30-1+1), "")</f>
      </c>
    </row>
    <row r="32" spans="1:8" x14ac:dyDescent="0.25">
      <c r="A32" s="8">
        <f>31</f>
      </c>
      <c r="B32" s="8">
        <f>fireAge+31-1</f>
      </c>
      <c r="C32" s="9">
        <f>MAX(0, G31)</f>
      </c>
      <c r="D32" s="9">
        <f>IF((fireAge+31-1) &lt;= endAge, MAX(0, (desiredIncome+healthMonthly)*12*(1+inflation/100)^((fireAge-currentAge)+31-1) - IF((fireAge+31-1)&gt;=pensionAge, statePension*12*(1+inflation/100)^((fireAge-currentAge)+31-1), 0)), 0)</f>
      </c>
      <c r="E32" s="9">
        <f>D32*(1+withdrawalTaxDrag/100)</f>
      </c>
      <c r="F32" s="9">
        <f>IF((fireAge+31-1) &lt;= endAge, MAX(0, C32-E32)*(expReturn-drawReturnDed)/100, 0)</f>
      </c>
      <c r="G32" s="9">
        <f>IF((fireAge+31-1) &lt;= endAge, MAX(0, C32-E32+F32), "")</f>
      </c>
      <c r="H32" s="9">
        <f>IF((fireAge+31-1) &lt;= endAge, G32/(1+inflation/100)^((fireAge-currentAge)+31-1+1), "")</f>
      </c>
    </row>
    <row r="33" spans="1:8" x14ac:dyDescent="0.25">
      <c r="A33" s="8">
        <f>32</f>
      </c>
      <c r="B33" s="8">
        <f>fireAge+32-1</f>
      </c>
      <c r="C33" s="9">
        <f>MAX(0, G32)</f>
      </c>
      <c r="D33" s="9">
        <f>IF((fireAge+32-1) &lt;= endAge, MAX(0, (desiredIncome+healthMonthly)*12*(1+inflation/100)^((fireAge-currentAge)+32-1) - IF((fireAge+32-1)&gt;=pensionAge, statePension*12*(1+inflation/100)^((fireAge-currentAge)+32-1), 0)), 0)</f>
      </c>
      <c r="E33" s="9">
        <f>D33*(1+withdrawalTaxDrag/100)</f>
      </c>
      <c r="F33" s="9">
        <f>IF((fireAge+32-1) &lt;= endAge, MAX(0, C33-E33)*(expReturn-drawReturnDed)/100, 0)</f>
      </c>
      <c r="G33" s="9">
        <f>IF((fireAge+32-1) &lt;= endAge, MAX(0, C33-E33+F33), "")</f>
      </c>
      <c r="H33" s="9">
        <f>IF((fireAge+32-1) &lt;= endAge, G33/(1+inflation/100)^((fireAge-currentAge)+32-1+1), "")</f>
      </c>
    </row>
    <row r="34" spans="1:8" x14ac:dyDescent="0.25">
      <c r="A34" s="8">
        <f>33</f>
      </c>
      <c r="B34" s="8">
        <f>fireAge+33-1</f>
      </c>
      <c r="C34" s="9">
        <f>MAX(0, G33)</f>
      </c>
      <c r="D34" s="9">
        <f>IF((fireAge+33-1) &lt;= endAge, MAX(0, (desiredIncome+healthMonthly)*12*(1+inflation/100)^((fireAge-currentAge)+33-1) - IF((fireAge+33-1)&gt;=pensionAge, statePension*12*(1+inflation/100)^((fireAge-currentAge)+33-1), 0)), 0)</f>
      </c>
      <c r="E34" s="9">
        <f>D34*(1+withdrawalTaxDrag/100)</f>
      </c>
      <c r="F34" s="9">
        <f>IF((fireAge+33-1) &lt;= endAge, MAX(0, C34-E34)*(expReturn-drawReturnDed)/100, 0)</f>
      </c>
      <c r="G34" s="9">
        <f>IF((fireAge+33-1) &lt;= endAge, MAX(0, C34-E34+F34), "")</f>
      </c>
      <c r="H34" s="9">
        <f>IF((fireAge+33-1) &lt;= endAge, G34/(1+inflation/100)^((fireAge-currentAge)+33-1+1), "")</f>
      </c>
    </row>
    <row r="35" spans="1:8" x14ac:dyDescent="0.25">
      <c r="A35" s="8">
        <f>34</f>
      </c>
      <c r="B35" s="8">
        <f>fireAge+34-1</f>
      </c>
      <c r="C35" s="9">
        <f>MAX(0, G34)</f>
      </c>
      <c r="D35" s="9">
        <f>IF((fireAge+34-1) &lt;= endAge, MAX(0, (desiredIncome+healthMonthly)*12*(1+inflation/100)^((fireAge-currentAge)+34-1) - IF((fireAge+34-1)&gt;=pensionAge, statePension*12*(1+inflation/100)^((fireAge-currentAge)+34-1), 0)), 0)</f>
      </c>
      <c r="E35" s="9">
        <f>D35*(1+withdrawalTaxDrag/100)</f>
      </c>
      <c r="F35" s="9">
        <f>IF((fireAge+34-1) &lt;= endAge, MAX(0, C35-E35)*(expReturn-drawReturnDed)/100, 0)</f>
      </c>
      <c r="G35" s="9">
        <f>IF((fireAge+34-1) &lt;= endAge, MAX(0, C35-E35+F35), "")</f>
      </c>
      <c r="H35" s="9">
        <f>IF((fireAge+34-1) &lt;= endAge, G35/(1+inflation/100)^((fireAge-currentAge)+34-1+1), "")</f>
      </c>
    </row>
    <row r="36" spans="1:8" x14ac:dyDescent="0.25">
      <c r="A36" s="8">
        <f>35</f>
      </c>
      <c r="B36" s="8">
        <f>fireAge+35-1</f>
      </c>
      <c r="C36" s="9">
        <f>MAX(0, G35)</f>
      </c>
      <c r="D36" s="9">
        <f>IF((fireAge+35-1) &lt;= endAge, MAX(0, (desiredIncome+healthMonthly)*12*(1+inflation/100)^((fireAge-currentAge)+35-1) - IF((fireAge+35-1)&gt;=pensionAge, statePension*12*(1+inflation/100)^((fireAge-currentAge)+35-1), 0)), 0)</f>
      </c>
      <c r="E36" s="9">
        <f>D36*(1+withdrawalTaxDrag/100)</f>
      </c>
      <c r="F36" s="9">
        <f>IF((fireAge+35-1) &lt;= endAge, MAX(0, C36-E36)*(expReturn-drawReturnDed)/100, 0)</f>
      </c>
      <c r="G36" s="9">
        <f>IF((fireAge+35-1) &lt;= endAge, MAX(0, C36-E36+F36), "")</f>
      </c>
      <c r="H36" s="9">
        <f>IF((fireAge+35-1) &lt;= endAge, G36/(1+inflation/100)^((fireAge-currentAge)+35-1+1), "")</f>
      </c>
    </row>
    <row r="37" spans="1:8" x14ac:dyDescent="0.25">
      <c r="A37" s="8">
        <f>36</f>
      </c>
      <c r="B37" s="8">
        <f>fireAge+36-1</f>
      </c>
      <c r="C37" s="9">
        <f>MAX(0, G36)</f>
      </c>
      <c r="D37" s="9">
        <f>IF((fireAge+36-1) &lt;= endAge, MAX(0, (desiredIncome+healthMonthly)*12*(1+inflation/100)^((fireAge-currentAge)+36-1) - IF((fireAge+36-1)&gt;=pensionAge, statePension*12*(1+inflation/100)^((fireAge-currentAge)+36-1), 0)), 0)</f>
      </c>
      <c r="E37" s="9">
        <f>D37*(1+withdrawalTaxDrag/100)</f>
      </c>
      <c r="F37" s="9">
        <f>IF((fireAge+36-1) &lt;= endAge, MAX(0, C37-E37)*(expReturn-drawReturnDed)/100, 0)</f>
      </c>
      <c r="G37" s="9">
        <f>IF((fireAge+36-1) &lt;= endAge, MAX(0, C37-E37+F37), "")</f>
      </c>
      <c r="H37" s="9">
        <f>IF((fireAge+36-1) &lt;= endAge, G37/(1+inflation/100)^((fireAge-currentAge)+36-1+1), "")</f>
      </c>
    </row>
    <row r="38" spans="1:8" x14ac:dyDescent="0.25">
      <c r="A38" s="8">
        <f>37</f>
      </c>
      <c r="B38" s="8">
        <f>fireAge+37-1</f>
      </c>
      <c r="C38" s="9">
        <f>MAX(0, G37)</f>
      </c>
      <c r="D38" s="9">
        <f>IF((fireAge+37-1) &lt;= endAge, MAX(0, (desiredIncome+healthMonthly)*12*(1+inflation/100)^((fireAge-currentAge)+37-1) - IF((fireAge+37-1)&gt;=pensionAge, statePension*12*(1+inflation/100)^((fireAge-currentAge)+37-1), 0)), 0)</f>
      </c>
      <c r="E38" s="9">
        <f>D38*(1+withdrawalTaxDrag/100)</f>
      </c>
      <c r="F38" s="9">
        <f>IF((fireAge+37-1) &lt;= endAge, MAX(0, C38-E38)*(expReturn-drawReturnDed)/100, 0)</f>
      </c>
      <c r="G38" s="9">
        <f>IF((fireAge+37-1) &lt;= endAge, MAX(0, C38-E38+F38), "")</f>
      </c>
      <c r="H38" s="9">
        <f>IF((fireAge+37-1) &lt;= endAge, G38/(1+inflation/100)^((fireAge-currentAge)+37-1+1), "")</f>
      </c>
    </row>
    <row r="39" spans="1:8" x14ac:dyDescent="0.25">
      <c r="A39" s="8">
        <f>38</f>
      </c>
      <c r="B39" s="8">
        <f>fireAge+38-1</f>
      </c>
      <c r="C39" s="9">
        <f>MAX(0, G38)</f>
      </c>
      <c r="D39" s="9">
        <f>IF((fireAge+38-1) &lt;= endAge, MAX(0, (desiredIncome+healthMonthly)*12*(1+inflation/100)^((fireAge-currentAge)+38-1) - IF((fireAge+38-1)&gt;=pensionAge, statePension*12*(1+inflation/100)^((fireAge-currentAge)+38-1), 0)), 0)</f>
      </c>
      <c r="E39" s="9">
        <f>D39*(1+withdrawalTaxDrag/100)</f>
      </c>
      <c r="F39" s="9">
        <f>IF((fireAge+38-1) &lt;= endAge, MAX(0, C39-E39)*(expReturn-drawReturnDed)/100, 0)</f>
      </c>
      <c r="G39" s="9">
        <f>IF((fireAge+38-1) &lt;= endAge, MAX(0, C39-E39+F39), "")</f>
      </c>
      <c r="H39" s="9">
        <f>IF((fireAge+38-1) &lt;= endAge, G39/(1+inflation/100)^((fireAge-currentAge)+38-1+1), "")</f>
      </c>
    </row>
    <row r="40" spans="1:8" x14ac:dyDescent="0.25">
      <c r="A40" s="8">
        <f>39</f>
      </c>
      <c r="B40" s="8">
        <f>fireAge+39-1</f>
      </c>
      <c r="C40" s="9">
        <f>MAX(0, G39)</f>
      </c>
      <c r="D40" s="9">
        <f>IF((fireAge+39-1) &lt;= endAge, MAX(0, (desiredIncome+healthMonthly)*12*(1+inflation/100)^((fireAge-currentAge)+39-1) - IF((fireAge+39-1)&gt;=pensionAge, statePension*12*(1+inflation/100)^((fireAge-currentAge)+39-1), 0)), 0)</f>
      </c>
      <c r="E40" s="9">
        <f>D40*(1+withdrawalTaxDrag/100)</f>
      </c>
      <c r="F40" s="9">
        <f>IF((fireAge+39-1) &lt;= endAge, MAX(0, C40-E40)*(expReturn-drawReturnDed)/100, 0)</f>
      </c>
      <c r="G40" s="9">
        <f>IF((fireAge+39-1) &lt;= endAge, MAX(0, C40-E40+F40), "")</f>
      </c>
      <c r="H40" s="9">
        <f>IF((fireAge+39-1) &lt;= endAge, G40/(1+inflation/100)^((fireAge-currentAge)+39-1+1), "")</f>
      </c>
    </row>
    <row r="41" spans="1:8" x14ac:dyDescent="0.25">
      <c r="A41" s="8">
        <f>40</f>
      </c>
      <c r="B41" s="8">
        <f>fireAge+40-1</f>
      </c>
      <c r="C41" s="9">
        <f>MAX(0, G40)</f>
      </c>
      <c r="D41" s="9">
        <f>IF((fireAge+40-1) &lt;= endAge, MAX(0, (desiredIncome+healthMonthly)*12*(1+inflation/100)^((fireAge-currentAge)+40-1) - IF((fireAge+40-1)&gt;=pensionAge, statePension*12*(1+inflation/100)^((fireAge-currentAge)+40-1), 0)), 0)</f>
      </c>
      <c r="E41" s="9">
        <f>D41*(1+withdrawalTaxDrag/100)</f>
      </c>
      <c r="F41" s="9">
        <f>IF((fireAge+40-1) &lt;= endAge, MAX(0, C41-E41)*(expReturn-drawReturnDed)/100, 0)</f>
      </c>
      <c r="G41" s="9">
        <f>IF((fireAge+40-1) &lt;= endAge, MAX(0, C41-E41+F41), "")</f>
      </c>
      <c r="H41" s="9">
        <f>IF((fireAge+40-1) &lt;= endAge, G41/(1+inflation/100)^((fireAge-currentAge)+40-1+1), "")</f>
      </c>
    </row>
    <row r="42" spans="1:8" x14ac:dyDescent="0.25">
      <c r="A42" s="8">
        <f>41</f>
      </c>
      <c r="B42" s="8">
        <f>fireAge+41-1</f>
      </c>
      <c r="C42" s="9">
        <f>MAX(0, G41)</f>
      </c>
      <c r="D42" s="9">
        <f>IF((fireAge+41-1) &lt;= endAge, MAX(0, (desiredIncome+healthMonthly)*12*(1+inflation/100)^((fireAge-currentAge)+41-1) - IF((fireAge+41-1)&gt;=pensionAge, statePension*12*(1+inflation/100)^((fireAge-currentAge)+41-1), 0)), 0)</f>
      </c>
      <c r="E42" s="9">
        <f>D42*(1+withdrawalTaxDrag/100)</f>
      </c>
      <c r="F42" s="9">
        <f>IF((fireAge+41-1) &lt;= endAge, MAX(0, C42-E42)*(expReturn-drawReturnDed)/100, 0)</f>
      </c>
      <c r="G42" s="9">
        <f>IF((fireAge+41-1) &lt;= endAge, MAX(0, C42-E42+F42), "")</f>
      </c>
      <c r="H42" s="9">
        <f>IF((fireAge+41-1) &lt;= endAge, G42/(1+inflation/100)^((fireAge-currentAge)+41-1+1), "")</f>
      </c>
    </row>
    <row r="43" spans="1:8" x14ac:dyDescent="0.25">
      <c r="A43" s="8">
        <f>42</f>
      </c>
      <c r="B43" s="8">
        <f>fireAge+42-1</f>
      </c>
      <c r="C43" s="9">
        <f>MAX(0, G42)</f>
      </c>
      <c r="D43" s="9">
        <f>IF((fireAge+42-1) &lt;= endAge, MAX(0, (desiredIncome+healthMonthly)*12*(1+inflation/100)^((fireAge-currentAge)+42-1) - IF((fireAge+42-1)&gt;=pensionAge, statePension*12*(1+inflation/100)^((fireAge-currentAge)+42-1), 0)), 0)</f>
      </c>
      <c r="E43" s="9">
        <f>D43*(1+withdrawalTaxDrag/100)</f>
      </c>
      <c r="F43" s="9">
        <f>IF((fireAge+42-1) &lt;= endAge, MAX(0, C43-E43)*(expReturn-drawReturnDed)/100, 0)</f>
      </c>
      <c r="G43" s="9">
        <f>IF((fireAge+42-1) &lt;= endAge, MAX(0, C43-E43+F43), "")</f>
      </c>
      <c r="H43" s="9">
        <f>IF((fireAge+42-1) &lt;= endAge, G43/(1+inflation/100)^((fireAge-currentAge)+42-1+1), "")</f>
      </c>
    </row>
    <row r="44" spans="1:8" x14ac:dyDescent="0.25">
      <c r="A44" s="8">
        <f>43</f>
      </c>
      <c r="B44" s="8">
        <f>fireAge+43-1</f>
      </c>
      <c r="C44" s="9">
        <f>MAX(0, G43)</f>
      </c>
      <c r="D44" s="9">
        <f>IF((fireAge+43-1) &lt;= endAge, MAX(0, (desiredIncome+healthMonthly)*12*(1+inflation/100)^((fireAge-currentAge)+43-1) - IF((fireAge+43-1)&gt;=pensionAge, statePension*12*(1+inflation/100)^((fireAge-currentAge)+43-1), 0)), 0)</f>
      </c>
      <c r="E44" s="9">
        <f>D44*(1+withdrawalTaxDrag/100)</f>
      </c>
      <c r="F44" s="9">
        <f>IF((fireAge+43-1) &lt;= endAge, MAX(0, C44-E44)*(expReturn-drawReturnDed)/100, 0)</f>
      </c>
      <c r="G44" s="9">
        <f>IF((fireAge+43-1) &lt;= endAge, MAX(0, C44-E44+F44), "")</f>
      </c>
      <c r="H44" s="9">
        <f>IF((fireAge+43-1) &lt;= endAge, G44/(1+inflation/100)^((fireAge-currentAge)+43-1+1), "")</f>
      </c>
    </row>
    <row r="45" spans="1:8" x14ac:dyDescent="0.25">
      <c r="A45" s="8">
        <f>44</f>
      </c>
      <c r="B45" s="8">
        <f>fireAge+44-1</f>
      </c>
      <c r="C45" s="9">
        <f>MAX(0, G44)</f>
      </c>
      <c r="D45" s="9">
        <f>IF((fireAge+44-1) &lt;= endAge, MAX(0, (desiredIncome+healthMonthly)*12*(1+inflation/100)^((fireAge-currentAge)+44-1) - IF((fireAge+44-1)&gt;=pensionAge, statePension*12*(1+inflation/100)^((fireAge-currentAge)+44-1), 0)), 0)</f>
      </c>
      <c r="E45" s="9">
        <f>D45*(1+withdrawalTaxDrag/100)</f>
      </c>
      <c r="F45" s="9">
        <f>IF((fireAge+44-1) &lt;= endAge, MAX(0, C45-E45)*(expReturn-drawReturnDed)/100, 0)</f>
      </c>
      <c r="G45" s="9">
        <f>IF((fireAge+44-1) &lt;= endAge, MAX(0, C45-E45+F45), "")</f>
      </c>
      <c r="H45" s="9">
        <f>IF((fireAge+44-1) &lt;= endAge, G45/(1+inflation/100)^((fireAge-currentAge)+44-1+1), "")</f>
      </c>
    </row>
    <row r="46" spans="1:8" x14ac:dyDescent="0.25">
      <c r="A46" s="8">
        <f>45</f>
      </c>
      <c r="B46" s="8">
        <f>fireAge+45-1</f>
      </c>
      <c r="C46" s="9">
        <f>MAX(0, G45)</f>
      </c>
      <c r="D46" s="9">
        <f>IF((fireAge+45-1) &lt;= endAge, MAX(0, (desiredIncome+healthMonthly)*12*(1+inflation/100)^((fireAge-currentAge)+45-1) - IF((fireAge+45-1)&gt;=pensionAge, statePension*12*(1+inflation/100)^((fireAge-currentAge)+45-1), 0)), 0)</f>
      </c>
      <c r="E46" s="9">
        <f>D46*(1+withdrawalTaxDrag/100)</f>
      </c>
      <c r="F46" s="9">
        <f>IF((fireAge+45-1) &lt;= endAge, MAX(0, C46-E46)*(expReturn-drawReturnDed)/100, 0)</f>
      </c>
      <c r="G46" s="9">
        <f>IF((fireAge+45-1) &lt;= endAge, MAX(0, C46-E46+F46), "")</f>
      </c>
      <c r="H46" s="9">
        <f>IF((fireAge+45-1) &lt;= endAge, G46/(1+inflation/100)^((fireAge-currentAge)+45-1+1), "")</f>
      </c>
    </row>
    <row r="47" spans="1:8" x14ac:dyDescent="0.25">
      <c r="A47" s="8">
        <f>46</f>
      </c>
      <c r="B47" s="8">
        <f>fireAge+46-1</f>
      </c>
      <c r="C47" s="9">
        <f>MAX(0, G46)</f>
      </c>
      <c r="D47" s="9">
        <f>IF((fireAge+46-1) &lt;= endAge, MAX(0, (desiredIncome+healthMonthly)*12*(1+inflation/100)^((fireAge-currentAge)+46-1) - IF((fireAge+46-1)&gt;=pensionAge, statePension*12*(1+inflation/100)^((fireAge-currentAge)+46-1), 0)), 0)</f>
      </c>
      <c r="E47" s="9">
        <f>D47*(1+withdrawalTaxDrag/100)</f>
      </c>
      <c r="F47" s="9">
        <f>IF((fireAge+46-1) &lt;= endAge, MAX(0, C47-E47)*(expReturn-drawReturnDed)/100, 0)</f>
      </c>
      <c r="G47" s="9">
        <f>IF((fireAge+46-1) &lt;= endAge, MAX(0, C47-E47+F47), "")</f>
      </c>
      <c r="H47" s="9">
        <f>IF((fireAge+46-1) &lt;= endAge, G47/(1+inflation/100)^((fireAge-currentAge)+46-1+1), "")</f>
      </c>
    </row>
    <row r="48" spans="1:8" x14ac:dyDescent="0.25">
      <c r="A48" s="8">
        <f>47</f>
      </c>
      <c r="B48" s="8">
        <f>fireAge+47-1</f>
      </c>
      <c r="C48" s="9">
        <f>MAX(0, G47)</f>
      </c>
      <c r="D48" s="9">
        <f>IF((fireAge+47-1) &lt;= endAge, MAX(0, (desiredIncome+healthMonthly)*12*(1+inflation/100)^((fireAge-currentAge)+47-1) - IF((fireAge+47-1)&gt;=pensionAge, statePension*12*(1+inflation/100)^((fireAge-currentAge)+47-1), 0)), 0)</f>
      </c>
      <c r="E48" s="9">
        <f>D48*(1+withdrawalTaxDrag/100)</f>
      </c>
      <c r="F48" s="9">
        <f>IF((fireAge+47-1) &lt;= endAge, MAX(0, C48-E48)*(expReturn-drawReturnDed)/100, 0)</f>
      </c>
      <c r="G48" s="9">
        <f>IF((fireAge+47-1) &lt;= endAge, MAX(0, C48-E48+F48), "")</f>
      </c>
      <c r="H48" s="9">
        <f>IF((fireAge+47-1) &lt;= endAge, G48/(1+inflation/100)^((fireAge-currentAge)+47-1+1), "")</f>
      </c>
    </row>
    <row r="49" spans="1:8" x14ac:dyDescent="0.25">
      <c r="A49" s="8">
        <f>48</f>
      </c>
      <c r="B49" s="8">
        <f>fireAge+48-1</f>
      </c>
      <c r="C49" s="9">
        <f>MAX(0, G48)</f>
      </c>
      <c r="D49" s="9">
        <f>IF((fireAge+48-1) &lt;= endAge, MAX(0, (desiredIncome+healthMonthly)*12*(1+inflation/100)^((fireAge-currentAge)+48-1) - IF((fireAge+48-1)&gt;=pensionAge, statePension*12*(1+inflation/100)^((fireAge-currentAge)+48-1), 0)), 0)</f>
      </c>
      <c r="E49" s="9">
        <f>D49*(1+withdrawalTaxDrag/100)</f>
      </c>
      <c r="F49" s="9">
        <f>IF((fireAge+48-1) &lt;= endAge, MAX(0, C49-E49)*(expReturn-drawReturnDed)/100, 0)</f>
      </c>
      <c r="G49" s="9">
        <f>IF((fireAge+48-1) &lt;= endAge, MAX(0, C49-E49+F49), "")</f>
      </c>
      <c r="H49" s="9">
        <f>IF((fireAge+48-1) &lt;= endAge, G49/(1+inflation/100)^((fireAge-currentAge)+48-1+1), "")</f>
      </c>
    </row>
    <row r="50" spans="1:8" x14ac:dyDescent="0.25">
      <c r="A50" s="8">
        <f>49</f>
      </c>
      <c r="B50" s="8">
        <f>fireAge+49-1</f>
      </c>
      <c r="C50" s="9">
        <f>MAX(0, G49)</f>
      </c>
      <c r="D50" s="9">
        <f>IF((fireAge+49-1) &lt;= endAge, MAX(0, (desiredIncome+healthMonthly)*12*(1+inflation/100)^((fireAge-currentAge)+49-1) - IF((fireAge+49-1)&gt;=pensionAge, statePension*12*(1+inflation/100)^((fireAge-currentAge)+49-1), 0)), 0)</f>
      </c>
      <c r="E50" s="9">
        <f>D50*(1+withdrawalTaxDrag/100)</f>
      </c>
      <c r="F50" s="9">
        <f>IF((fireAge+49-1) &lt;= endAge, MAX(0, C50-E50)*(expReturn-drawReturnDed)/100, 0)</f>
      </c>
      <c r="G50" s="9">
        <f>IF((fireAge+49-1) &lt;= endAge, MAX(0, C50-E50+F50), "")</f>
      </c>
      <c r="H50" s="9">
        <f>IF((fireAge+49-1) &lt;= endAge, G50/(1+inflation/100)^((fireAge-currentAge)+49-1+1), "")</f>
      </c>
    </row>
    <row r="51" spans="1:8" x14ac:dyDescent="0.25">
      <c r="A51" s="8">
        <f>50</f>
      </c>
      <c r="B51" s="8">
        <f>fireAge+50-1</f>
      </c>
      <c r="C51" s="9">
        <f>MAX(0, G50)</f>
      </c>
      <c r="D51" s="9">
        <f>IF((fireAge+50-1) &lt;= endAge, MAX(0, (desiredIncome+healthMonthly)*12*(1+inflation/100)^((fireAge-currentAge)+50-1) - IF((fireAge+50-1)&gt;=pensionAge, statePension*12*(1+inflation/100)^((fireAge-currentAge)+50-1), 0)), 0)</f>
      </c>
      <c r="E51" s="9">
        <f>D51*(1+withdrawalTaxDrag/100)</f>
      </c>
      <c r="F51" s="9">
        <f>IF((fireAge+50-1) &lt;= endAge, MAX(0, C51-E51)*(expReturn-drawReturnDed)/100, 0)</f>
      </c>
      <c r="G51" s="9">
        <f>IF((fireAge+50-1) &lt;= endAge, MAX(0, C51-E51+F51), "")</f>
      </c>
      <c r="H51" s="9">
        <f>IF((fireAge+50-1) &lt;= endAge, G51/(1+inflation/100)^((fireAge-currentAge)+50-1+1), "")</f>
      </c>
    </row>
    <row r="52" spans="1:8" x14ac:dyDescent="0.25">
      <c r="A52" s="8">
        <f>51</f>
      </c>
      <c r="B52" s="8">
        <f>fireAge+51-1</f>
      </c>
      <c r="C52" s="9">
        <f>MAX(0, G51)</f>
      </c>
      <c r="D52" s="9">
        <f>IF((fireAge+51-1) &lt;= endAge, MAX(0, (desiredIncome+healthMonthly)*12*(1+inflation/100)^((fireAge-currentAge)+51-1) - IF((fireAge+51-1)&gt;=pensionAge, statePension*12*(1+inflation/100)^((fireAge-currentAge)+51-1), 0)), 0)</f>
      </c>
      <c r="E52" s="9">
        <f>D52*(1+withdrawalTaxDrag/100)</f>
      </c>
      <c r="F52" s="9">
        <f>IF((fireAge+51-1) &lt;= endAge, MAX(0, C52-E52)*(expReturn-drawReturnDed)/100, 0)</f>
      </c>
      <c r="G52" s="9">
        <f>IF((fireAge+51-1) &lt;= endAge, MAX(0, C52-E52+F52), "")</f>
      </c>
      <c r="H52" s="9">
        <f>IF((fireAge+51-1) &lt;= endAge, G52/(1+inflation/100)^((fireAge-currentAge)+51-1+1), "")</f>
      </c>
    </row>
    <row r="53" spans="1:8" x14ac:dyDescent="0.25">
      <c r="A53" s="8">
        <f>52</f>
      </c>
      <c r="B53" s="8">
        <f>fireAge+52-1</f>
      </c>
      <c r="C53" s="9">
        <f>MAX(0, G52)</f>
      </c>
      <c r="D53" s="9">
        <f>IF((fireAge+52-1) &lt;= endAge, MAX(0, (desiredIncome+healthMonthly)*12*(1+inflation/100)^((fireAge-currentAge)+52-1) - IF((fireAge+52-1)&gt;=pensionAge, statePension*12*(1+inflation/100)^((fireAge-currentAge)+52-1), 0)), 0)</f>
      </c>
      <c r="E53" s="9">
        <f>D53*(1+withdrawalTaxDrag/100)</f>
      </c>
      <c r="F53" s="9">
        <f>IF((fireAge+52-1) &lt;= endAge, MAX(0, C53-E53)*(expReturn-drawReturnDed)/100, 0)</f>
      </c>
      <c r="G53" s="9">
        <f>IF((fireAge+52-1) &lt;= endAge, MAX(0, C53-E53+F53), "")</f>
      </c>
      <c r="H53" s="9">
        <f>IF((fireAge+52-1) &lt;= endAge, G53/(1+inflation/100)^((fireAge-currentAge)+52-1+1), "")</f>
      </c>
    </row>
    <row r="54" spans="1:8" x14ac:dyDescent="0.25">
      <c r="A54" s="8">
        <f>53</f>
      </c>
      <c r="B54" s="8">
        <f>fireAge+53-1</f>
      </c>
      <c r="C54" s="9">
        <f>MAX(0, G53)</f>
      </c>
      <c r="D54" s="9">
        <f>IF((fireAge+53-1) &lt;= endAge, MAX(0, (desiredIncome+healthMonthly)*12*(1+inflation/100)^((fireAge-currentAge)+53-1) - IF((fireAge+53-1)&gt;=pensionAge, statePension*12*(1+inflation/100)^((fireAge-currentAge)+53-1), 0)), 0)</f>
      </c>
      <c r="E54" s="9">
        <f>D54*(1+withdrawalTaxDrag/100)</f>
      </c>
      <c r="F54" s="9">
        <f>IF((fireAge+53-1) &lt;= endAge, MAX(0, C54-E54)*(expReturn-drawReturnDed)/100, 0)</f>
      </c>
      <c r="G54" s="9">
        <f>IF((fireAge+53-1) &lt;= endAge, MAX(0, C54-E54+F54), "")</f>
      </c>
      <c r="H54" s="9">
        <f>IF((fireAge+53-1) &lt;= endAge, G54/(1+inflation/100)^((fireAge-currentAge)+53-1+1), "")</f>
      </c>
    </row>
    <row r="55" spans="1:8" x14ac:dyDescent="0.25">
      <c r="A55" s="8">
        <f>54</f>
      </c>
      <c r="B55" s="8">
        <f>fireAge+54-1</f>
      </c>
      <c r="C55" s="9">
        <f>MAX(0, G54)</f>
      </c>
      <c r="D55" s="9">
        <f>IF((fireAge+54-1) &lt;= endAge, MAX(0, (desiredIncome+healthMonthly)*12*(1+inflation/100)^((fireAge-currentAge)+54-1) - IF((fireAge+54-1)&gt;=pensionAge, statePension*12*(1+inflation/100)^((fireAge-currentAge)+54-1), 0)), 0)</f>
      </c>
      <c r="E55" s="9">
        <f>D55*(1+withdrawalTaxDrag/100)</f>
      </c>
      <c r="F55" s="9">
        <f>IF((fireAge+54-1) &lt;= endAge, MAX(0, C55-E55)*(expReturn-drawReturnDed)/100, 0)</f>
      </c>
      <c r="G55" s="9">
        <f>IF((fireAge+54-1) &lt;= endAge, MAX(0, C55-E55+F55), "")</f>
      </c>
      <c r="H55" s="9">
        <f>IF((fireAge+54-1) &lt;= endAge, G55/(1+inflation/100)^((fireAge-currentAge)+54-1+1), "")</f>
      </c>
    </row>
    <row r="56" spans="1:8" x14ac:dyDescent="0.25">
      <c r="A56" s="8">
        <f>55</f>
      </c>
      <c r="B56" s="8">
        <f>fireAge+55-1</f>
      </c>
      <c r="C56" s="9">
        <f>MAX(0, G55)</f>
      </c>
      <c r="D56" s="9">
        <f>IF((fireAge+55-1) &lt;= endAge, MAX(0, (desiredIncome+healthMonthly)*12*(1+inflation/100)^((fireAge-currentAge)+55-1) - IF((fireAge+55-1)&gt;=pensionAge, statePension*12*(1+inflation/100)^((fireAge-currentAge)+55-1), 0)), 0)</f>
      </c>
      <c r="E56" s="9">
        <f>D56*(1+withdrawalTaxDrag/100)</f>
      </c>
      <c r="F56" s="9">
        <f>IF((fireAge+55-1) &lt;= endAge, MAX(0, C56-E56)*(expReturn-drawReturnDed)/100, 0)</f>
      </c>
      <c r="G56" s="9">
        <f>IF((fireAge+55-1) &lt;= endAge, MAX(0, C56-E56+F56), "")</f>
      </c>
      <c r="H56" s="9">
        <f>IF((fireAge+55-1) &lt;= endAge, G56/(1+inflation/100)^((fireAge-currentAge)+55-1+1), "")</f>
      </c>
    </row>
    <row r="57" spans="1:8" x14ac:dyDescent="0.25">
      <c r="A57" s="8">
        <f>56</f>
      </c>
      <c r="B57" s="8">
        <f>fireAge+56-1</f>
      </c>
      <c r="C57" s="9">
        <f>MAX(0, G56)</f>
      </c>
      <c r="D57" s="9">
        <f>IF((fireAge+56-1) &lt;= endAge, MAX(0, (desiredIncome+healthMonthly)*12*(1+inflation/100)^((fireAge-currentAge)+56-1) - IF((fireAge+56-1)&gt;=pensionAge, statePension*12*(1+inflation/100)^((fireAge-currentAge)+56-1), 0)), 0)</f>
      </c>
      <c r="E57" s="9">
        <f>D57*(1+withdrawalTaxDrag/100)</f>
      </c>
      <c r="F57" s="9">
        <f>IF((fireAge+56-1) &lt;= endAge, MAX(0, C57-E57)*(expReturn-drawReturnDed)/100, 0)</f>
      </c>
      <c r="G57" s="9">
        <f>IF((fireAge+56-1) &lt;= endAge, MAX(0, C57-E57+F57), "")</f>
      </c>
      <c r="H57" s="9">
        <f>IF((fireAge+56-1) &lt;= endAge, G57/(1+inflation/100)^((fireAge-currentAge)+56-1+1), "")</f>
      </c>
    </row>
    <row r="58" spans="1:8" x14ac:dyDescent="0.25">
      <c r="A58" s="8">
        <f>57</f>
      </c>
      <c r="B58" s="8">
        <f>fireAge+57-1</f>
      </c>
      <c r="C58" s="9">
        <f>MAX(0, G57)</f>
      </c>
      <c r="D58" s="9">
        <f>IF((fireAge+57-1) &lt;= endAge, MAX(0, (desiredIncome+healthMonthly)*12*(1+inflation/100)^((fireAge-currentAge)+57-1) - IF((fireAge+57-1)&gt;=pensionAge, statePension*12*(1+inflation/100)^((fireAge-currentAge)+57-1), 0)), 0)</f>
      </c>
      <c r="E58" s="9">
        <f>D58*(1+withdrawalTaxDrag/100)</f>
      </c>
      <c r="F58" s="9">
        <f>IF((fireAge+57-1) &lt;= endAge, MAX(0, C58-E58)*(expReturn-drawReturnDed)/100, 0)</f>
      </c>
      <c r="G58" s="9">
        <f>IF((fireAge+57-1) &lt;= endAge, MAX(0, C58-E58+F58), "")</f>
      </c>
      <c r="H58" s="9">
        <f>IF((fireAge+57-1) &lt;= endAge, G58/(1+inflation/100)^((fireAge-currentAge)+57-1+1), "")</f>
      </c>
    </row>
    <row r="59" spans="1:8" x14ac:dyDescent="0.25">
      <c r="A59" s="8">
        <f>58</f>
      </c>
      <c r="B59" s="8">
        <f>fireAge+58-1</f>
      </c>
      <c r="C59" s="9">
        <f>MAX(0, G58)</f>
      </c>
      <c r="D59" s="9">
        <f>IF((fireAge+58-1) &lt;= endAge, MAX(0, (desiredIncome+healthMonthly)*12*(1+inflation/100)^((fireAge-currentAge)+58-1) - IF((fireAge+58-1)&gt;=pensionAge, statePension*12*(1+inflation/100)^((fireAge-currentAge)+58-1), 0)), 0)</f>
      </c>
      <c r="E59" s="9">
        <f>D59*(1+withdrawalTaxDrag/100)</f>
      </c>
      <c r="F59" s="9">
        <f>IF((fireAge+58-1) &lt;= endAge, MAX(0, C59-E59)*(expReturn-drawReturnDed)/100, 0)</f>
      </c>
      <c r="G59" s="9">
        <f>IF((fireAge+58-1) &lt;= endAge, MAX(0, C59-E59+F59), "")</f>
      </c>
      <c r="H59" s="9">
        <f>IF((fireAge+58-1) &lt;= endAge, G59/(1+inflation/100)^((fireAge-currentAge)+58-1+1), "")</f>
      </c>
    </row>
    <row r="60" spans="1:8" x14ac:dyDescent="0.25">
      <c r="A60" s="8">
        <f>59</f>
      </c>
      <c r="B60" s="8">
        <f>fireAge+59-1</f>
      </c>
      <c r="C60" s="9">
        <f>MAX(0, G59)</f>
      </c>
      <c r="D60" s="9">
        <f>IF((fireAge+59-1) &lt;= endAge, MAX(0, (desiredIncome+healthMonthly)*12*(1+inflation/100)^((fireAge-currentAge)+59-1) - IF((fireAge+59-1)&gt;=pensionAge, statePension*12*(1+inflation/100)^((fireAge-currentAge)+59-1), 0)), 0)</f>
      </c>
      <c r="E60" s="9">
        <f>D60*(1+withdrawalTaxDrag/100)</f>
      </c>
      <c r="F60" s="9">
        <f>IF((fireAge+59-1) &lt;= endAge, MAX(0, C60-E60)*(expReturn-drawReturnDed)/100, 0)</f>
      </c>
      <c r="G60" s="9">
        <f>IF((fireAge+59-1) &lt;= endAge, MAX(0, C60-E60+F60), "")</f>
      </c>
      <c r="H60" s="9">
        <f>IF((fireAge+59-1) &lt;= endAge, G60/(1+inflation/100)^((fireAge-currentAge)+59-1+1), "")</f>
      </c>
    </row>
    <row r="61" spans="1:8" x14ac:dyDescent="0.25">
      <c r="A61" s="8">
        <f>60</f>
      </c>
      <c r="B61" s="8">
        <f>fireAge+60-1</f>
      </c>
      <c r="C61" s="9">
        <f>MAX(0, G60)</f>
      </c>
      <c r="D61" s="9">
        <f>IF((fireAge+60-1) &lt;= endAge, MAX(0, (desiredIncome+healthMonthly)*12*(1+inflation/100)^((fireAge-currentAge)+60-1) - IF((fireAge+60-1)&gt;=pensionAge, statePension*12*(1+inflation/100)^((fireAge-currentAge)+60-1), 0)), 0)</f>
      </c>
      <c r="E61" s="9">
        <f>D61*(1+withdrawalTaxDrag/100)</f>
      </c>
      <c r="F61" s="9">
        <f>IF((fireAge+60-1) &lt;= endAge, MAX(0, C61-E61)*(expReturn-drawReturnDed)/100, 0)</f>
      </c>
      <c r="G61" s="9">
        <f>IF((fireAge+60-1) &lt;= endAge, MAX(0, C61-E61+F61), "")</f>
      </c>
      <c r="H61" s="9">
        <f>IF((fireAge+60-1) &lt;= endAge, G61/(1+inflation/100)^((fireAge-currentAge)+60-1+1), "")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22" customWidth="1"/>
    <col min="2" max="3" width="26" customWidth="1"/>
  </cols>
  <sheetData>
    <row r="1" spans="1:3" x14ac:dyDescent="0.25">
      <c r="A1" s="3" t="s">
        <v>91</v>
      </c>
      <c r="B1" s="3" t="s">
        <v>92</v>
      </c>
      <c r="C1" s="3" t="s">
        <v>93</v>
      </c>
    </row>
    <row r="2" spans="1:3" x14ac:dyDescent="0.25">
      <c r="A2" s="12">
        <v>4</v>
      </c>
      <c r="B2" s="9">
        <f>MAX(0, (C2 - startCapital*(1+4/100)^(fireAge-currentAge)) * (4/100) / (((1+4/100)^(fireAge-currentAge))-1) / 12)</f>
      </c>
      <c r="C2" s="9">
        <f>'FIRE number'!B9*(1+inflation/100)^(fireAge-currentAge)</f>
      </c>
    </row>
    <row r="3" spans="1:3" x14ac:dyDescent="0.25">
      <c r="A3" s="12">
        <v>5</v>
      </c>
      <c r="B3" s="9">
        <f>MAX(0, (C3 - startCapital*(1+5/100)^(fireAge-currentAge)) * (5/100) / (((1+5/100)^(fireAge-currentAge))-1) / 12)</f>
      </c>
      <c r="C3" s="9">
        <f>'FIRE number'!B9*(1+inflation/100)^(fireAge-currentAge)</f>
      </c>
    </row>
    <row r="4" spans="1:3" x14ac:dyDescent="0.25">
      <c r="A4" s="12">
        <v>6</v>
      </c>
      <c r="B4" s="9">
        <f>MAX(0, (C4 - startCapital*(1+6/100)^(fireAge-currentAge)) * (6/100) / (((1+6/100)^(fireAge-currentAge))-1) / 12)</f>
      </c>
      <c r="C4" s="9">
        <f>'FIRE number'!B9*(1+inflation/100)^(fireAge-currentAge)</f>
      </c>
    </row>
    <row r="5" spans="1:3" x14ac:dyDescent="0.25">
      <c r="A5" s="12">
        <v>7</v>
      </c>
      <c r="B5" s="9">
        <f>MAX(0, (C5 - startCapital*(1+7/100)^(fireAge-currentAge)) * (7/100) / (((1+7/100)^(fireAge-currentAge))-1) / 12)</f>
      </c>
      <c r="C5" s="9">
        <f>'FIRE number'!B9*(1+inflation/100)^(fireAge-currentAge)</f>
      </c>
    </row>
    <row r="6" spans="1:3" x14ac:dyDescent="0.25">
      <c r="A6" s="12">
        <v>8</v>
      </c>
      <c r="B6" s="9">
        <f>MAX(0, (C6 - startCapital*(1+8/100)^(fireAge-currentAge)) * (8/100) / (((1+8/100)^(fireAge-currentAge))-1) / 12)</f>
      </c>
      <c r="C6" s="9">
        <f>'FIRE number'!B9*(1+inflation/100)^(fireAge-currentAge)</f>
      </c>
    </row>
    <row r="7" spans="1:3" x14ac:dyDescent="0.25">
      <c r="A7" s="12">
        <v>9</v>
      </c>
      <c r="B7" s="9">
        <f>MAX(0, (C7 - startCapital*(1+9/100)^(fireAge-currentAge)) * (9/100) / (((1+9/100)^(fireAge-currentAge))-1) / 12)</f>
      </c>
      <c r="C7" s="9">
        <f>'FIRE number'!B9*(1+inflation/100)^(fireAge-currentAge)</f>
      </c>
    </row>
    <row r="8" spans="1:3" x14ac:dyDescent="0.25">
      <c r="A8" s="12">
        <v>10</v>
      </c>
      <c r="B8" s="9">
        <f>MAX(0, (C8 - startCapital*(1+10/100)^(fireAge-currentAge)) * (10/100) / (((1+10/100)^(fireAge-currentAge))-1) / 12)</f>
      </c>
      <c r="C8" s="9">
        <f>'FIRE number'!B9*(1+inflation/100)^(fireAge-currentAge)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B10"/>
  <sheetFormatPr defaultRowHeight="15" outlineLevelRow="0" outlineLevelCol="0" x14ac:dyDescent="55"/>
  <cols>
    <col min="1" max="1" width="44" customWidth="1"/>
    <col min="2" max="2" width="24" customWidth="1"/>
  </cols>
  <sheetData>
    <row r="1" spans="1:1" x14ac:dyDescent="0.25">
      <c r="A1" s="1" t="s">
        <v>94</v>
      </c>
    </row>
    <row r="3" spans="1:2" x14ac:dyDescent="0.25">
      <c r="A3" s="13" t="s">
        <v>95</v>
      </c>
      <c r="B3" s="9">
        <f>'FIRE number'!B9</f>
      </c>
    </row>
    <row r="4" spans="1:2" x14ac:dyDescent="0.25">
      <c r="A4" s="13" t="s">
        <v>96</v>
      </c>
      <c r="B4" s="9">
        <f>'FIRE number'!B4</f>
      </c>
    </row>
    <row r="5" spans="1:2" x14ac:dyDescent="0.25">
      <c r="A5" s="13" t="s">
        <v>85</v>
      </c>
      <c r="B5" s="9">
        <f>'FIRE number'!B10</f>
      </c>
    </row>
    <row r="6" spans="1:2" x14ac:dyDescent="0.25">
      <c r="A6" s="13" t="s">
        <v>97</v>
      </c>
      <c r="B6" s="9">
        <f>'FIRE number'!B11</f>
      </c>
    </row>
    <row r="7" spans="1:2" x14ac:dyDescent="0.25">
      <c r="A7" s="13" t="s">
        <v>98</v>
      </c>
      <c r="B7" s="8">
        <f>fireAge-currentAge</f>
      </c>
    </row>
    <row r="8" spans="1:2" x14ac:dyDescent="0.25">
      <c r="A8" s="13" t="s">
        <v>99</v>
      </c>
      <c r="B8" s="9">
        <f>(desiredIncome+healthMonthly)*12</f>
      </c>
    </row>
    <row r="9" spans="1:2" x14ac:dyDescent="0.25">
      <c r="A9" s="13" t="s">
        <v>100</v>
      </c>
      <c r="B9" s="9">
        <f>'FIRE number'!B9*swr/100</f>
      </c>
    </row>
    <row r="10" spans="1:2" x14ac:dyDescent="0.25">
      <c r="A10" s="13" t="s">
        <v>101</v>
      </c>
      <c r="B10" s="9">
        <f>INDEX(Drawdown!$H:$H, MATCH(endAge, Drawdown!$B:$B, 0))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Assumptions</vt:lpstr>
      <vt:lpstr>Accumulation</vt:lpstr>
      <vt:lpstr>FIRE number</vt:lpstr>
      <vt:lpstr>Drawdown</vt:lpstr>
      <vt:lpstr>Sensitivity</vt:lpstr>
      <vt:lpstr>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FIRE Masterplan Simulator</dc:creator>
  <dc:title/>
  <dc:subject/>
  <dc:description/>
  <cp:keywords/>
  <cp:category/>
  <cp:lastModifiedBy>Unknown</cp:lastModifiedBy>
  <dcterms:created xsi:type="dcterms:W3CDTF">2026-09-11T12:08:54Z</dcterms:created>
  <dcterms:modified xsi:type="dcterms:W3CDTF">2026-09-11T12:08:54Z</dcterms:modified>
</cp:coreProperties>
</file>